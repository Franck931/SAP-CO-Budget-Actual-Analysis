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70s\Documents\SAP_CO_training_dataset\"/>
    </mc:Choice>
  </mc:AlternateContent>
  <xr:revisionPtr revIDLastSave="0" documentId="13_ncr:1_{6E5AE84B-F856-4715-993A-EC87E9D566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nnées" sheetId="1" r:id="rId1"/>
    <sheet name="synthèse des anomalies" sheetId="9" r:id="rId2"/>
    <sheet name="Top_Ecarts" sheetId="10" r:id="rId3"/>
    <sheet name="Drilldown_Business_Unit" sheetId="8" r:id="rId4"/>
    <sheet name="Drilldown_CC" sheetId="4" r:id="rId5"/>
    <sheet name="kpi" sheetId="2" r:id="rId6"/>
    <sheet name="Drilldown_BU" sheetId="3" r:id="rId7"/>
    <sheet name="Drilldown_Nature" sheetId="5" r:id="rId8"/>
    <sheet name="Drilldown_Centre_Cout" sheetId="6" r:id="rId9"/>
    <sheet name="Drilldown_Mois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  <c r="B3" i="9"/>
  <c r="A2" i="10" a="1"/>
  <c r="A2" i="10" s="1"/>
  <c r="B7" i="9"/>
  <c r="B6" i="9"/>
  <c r="B5" i="9"/>
  <c r="B4" i="9"/>
  <c r="B2" i="9"/>
  <c r="E3" i="8"/>
  <c r="E4" i="8"/>
  <c r="E5" i="8"/>
  <c r="E2" i="8"/>
  <c r="D3" i="8"/>
  <c r="D4" i="8"/>
  <c r="D5" i="8"/>
  <c r="D2" i="8"/>
  <c r="C3" i="8"/>
  <c r="C4" i="8"/>
  <c r="C5" i="8"/>
  <c r="C2" i="8"/>
  <c r="B3" i="8"/>
  <c r="B4" i="8"/>
  <c r="B5" i="8"/>
  <c r="B2" i="8"/>
  <c r="E3" i="7"/>
  <c r="E4" i="7"/>
  <c r="E5" i="7"/>
  <c r="E6" i="7"/>
  <c r="E7" i="7"/>
  <c r="E8" i="7"/>
  <c r="E9" i="7"/>
  <c r="E10" i="7"/>
  <c r="E11" i="7"/>
  <c r="E12" i="7"/>
  <c r="E13" i="7"/>
  <c r="E2" i="7"/>
  <c r="D3" i="7"/>
  <c r="D4" i="7"/>
  <c r="D5" i="7"/>
  <c r="D6" i="7"/>
  <c r="D7" i="7"/>
  <c r="D8" i="7"/>
  <c r="D9" i="7"/>
  <c r="D10" i="7"/>
  <c r="D11" i="7"/>
  <c r="D12" i="7"/>
  <c r="D13" i="7"/>
  <c r="D2" i="7"/>
  <c r="C3" i="7"/>
  <c r="C4" i="7"/>
  <c r="C5" i="7"/>
  <c r="C6" i="7"/>
  <c r="C7" i="7"/>
  <c r="C8" i="7"/>
  <c r="C9" i="7"/>
  <c r="C10" i="7"/>
  <c r="C11" i="7"/>
  <c r="C12" i="7"/>
  <c r="C13" i="7"/>
  <c r="C2" i="7"/>
  <c r="B2" i="7"/>
  <c r="B3" i="7"/>
  <c r="B4" i="7"/>
  <c r="B5" i="7"/>
  <c r="B6" i="7"/>
  <c r="B7" i="7"/>
  <c r="B8" i="7"/>
  <c r="B9" i="7"/>
  <c r="B10" i="7"/>
  <c r="B11" i="7"/>
  <c r="B12" i="7"/>
  <c r="B13" i="7"/>
  <c r="E3" i="6"/>
  <c r="E4" i="6"/>
  <c r="E5" i="6"/>
  <c r="E2" i="6"/>
  <c r="D3" i="6"/>
  <c r="D4" i="6"/>
  <c r="D5" i="6"/>
  <c r="D2" i="6"/>
  <c r="C3" i="6"/>
  <c r="C4" i="6"/>
  <c r="C5" i="6"/>
  <c r="C2" i="6"/>
  <c r="B3" i="6"/>
  <c r="B4" i="6"/>
  <c r="B5" i="6"/>
  <c r="B2" i="6"/>
  <c r="C3" i="5"/>
  <c r="D3" i="5" s="1"/>
  <c r="E3" i="5" s="1"/>
  <c r="C4" i="5"/>
  <c r="C5" i="5"/>
  <c r="C6" i="5"/>
  <c r="D6" i="5" s="1"/>
  <c r="C7" i="5"/>
  <c r="D7" i="5" s="1"/>
  <c r="E7" i="5" s="1"/>
  <c r="C2" i="5"/>
  <c r="D2" i="5" s="1"/>
  <c r="B3" i="5"/>
  <c r="B4" i="5"/>
  <c r="B5" i="5"/>
  <c r="D5" i="5" s="1"/>
  <c r="B6" i="5"/>
  <c r="B7" i="5"/>
  <c r="B2" i="5"/>
  <c r="E2" i="5" s="1"/>
  <c r="B2" i="4"/>
  <c r="C3" i="4"/>
  <c r="C4" i="4"/>
  <c r="D4" i="4" s="1"/>
  <c r="E4" i="4" s="1"/>
  <c r="C2" i="4"/>
  <c r="B3" i="4"/>
  <c r="D3" i="4" s="1"/>
  <c r="E3" i="4" s="1"/>
  <c r="B4" i="4"/>
  <c r="B2" i="3"/>
  <c r="E4" i="3"/>
  <c r="C3" i="3"/>
  <c r="C4" i="3"/>
  <c r="C5" i="3"/>
  <c r="C2" i="3"/>
  <c r="B3" i="3"/>
  <c r="B4" i="3"/>
  <c r="D4" i="3" s="1"/>
  <c r="B5" i="3"/>
  <c r="E2" i="2"/>
  <c r="A2" i="2"/>
  <c r="B2" i="2"/>
  <c r="C2" i="2" s="1"/>
  <c r="D2" i="2" s="1"/>
  <c r="D2" i="4" l="1"/>
  <c r="E2" i="4" s="1"/>
  <c r="E6" i="5"/>
  <c r="D4" i="5"/>
  <c r="E4" i="5" s="1"/>
  <c r="E5" i="5"/>
  <c r="D3" i="3"/>
  <c r="E3" i="3" s="1"/>
  <c r="D5" i="3"/>
  <c r="E5" i="3" s="1"/>
  <c r="D2" i="3"/>
  <c r="E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<sst xmlns="http://schemas.openxmlformats.org/spreadsheetml/2006/main" count="6134" uniqueCount="83">
  <si>
    <t>Mois</t>
  </si>
  <si>
    <t>Business_Unit_Code</t>
  </si>
  <si>
    <t>Business_Unit</t>
  </si>
  <si>
    <t>Centre_Cout_Code</t>
  </si>
  <si>
    <t>Centre_Cout</t>
  </si>
  <si>
    <t>Nature_Depense</t>
  </si>
  <si>
    <t>Budget_EUR</t>
  </si>
  <si>
    <t>Reel_EUR</t>
  </si>
  <si>
    <t>Mois_date</t>
  </si>
  <si>
    <t>2025-01</t>
  </si>
  <si>
    <t>2025-02</t>
  </si>
  <si>
    <t>2025-08</t>
  </si>
  <si>
    <t>2025-03</t>
  </si>
  <si>
    <t>2025-04</t>
  </si>
  <si>
    <t>2025-05</t>
  </si>
  <si>
    <t>2025-06</t>
  </si>
  <si>
    <t>2025-07</t>
  </si>
  <si>
    <t>2025-09</t>
  </si>
  <si>
    <t>2025-10</t>
  </si>
  <si>
    <t>2025-11</t>
  </si>
  <si>
    <t>2025-12</t>
  </si>
  <si>
    <t>BU01</t>
  </si>
  <si>
    <t>BU02</t>
  </si>
  <si>
    <t>BU03</t>
  </si>
  <si>
    <t>BU04</t>
  </si>
  <si>
    <t>CONSTRUCTION FRANCE</t>
  </si>
  <si>
    <t>CONSTRUCTION UK</t>
  </si>
  <si>
    <t>ENERGIE</t>
  </si>
  <si>
    <t>INFRASTRUCTURES</t>
  </si>
  <si>
    <t>CC1001</t>
  </si>
  <si>
    <t>CC1002</t>
  </si>
  <si>
    <t>CC1003</t>
  </si>
  <si>
    <t>CC2001</t>
  </si>
  <si>
    <t>CC2002</t>
  </si>
  <si>
    <t>CC2003</t>
  </si>
  <si>
    <t>CC3001</t>
  </si>
  <si>
    <t>CC3002</t>
  </si>
  <si>
    <t>CC3003</t>
  </si>
  <si>
    <t>CC4001</t>
  </si>
  <si>
    <t>CC4002</t>
  </si>
  <si>
    <t>CC4003</t>
  </si>
  <si>
    <t>IT</t>
  </si>
  <si>
    <t>RESSOURCES HUMAINES</t>
  </si>
  <si>
    <t>FINANCE</t>
  </si>
  <si>
    <t>MAINTENANCE</t>
  </si>
  <si>
    <t>LOGICIELS</t>
  </si>
  <si>
    <t>PRESTATIONS EXTERNES</t>
  </si>
  <si>
    <t>SALAIRES</t>
  </si>
  <si>
    <t>MATÉRIEL</t>
  </si>
  <si>
    <t>DÉPLACEMENTS</t>
  </si>
  <si>
    <t>LOGICIEL</t>
  </si>
  <si>
    <t>ÉNERGIE</t>
  </si>
  <si>
    <t>Écart €</t>
  </si>
  <si>
    <t>Écart %</t>
  </si>
  <si>
    <t>Significatif</t>
  </si>
  <si>
    <t>Non significatif</t>
  </si>
  <si>
    <t>Non Significatif</t>
  </si>
  <si>
    <t>Budget total</t>
  </si>
  <si>
    <t>Réel total</t>
  </si>
  <si>
    <t>Ecart total €</t>
  </si>
  <si>
    <t>Ecart total %</t>
  </si>
  <si>
    <t>Nb Centre de couts significatif</t>
  </si>
  <si>
    <t>Nb BU avec Ecart significatif</t>
  </si>
  <si>
    <t>Business Unit</t>
  </si>
  <si>
    <t>Construction France</t>
  </si>
  <si>
    <t>Construction UK</t>
  </si>
  <si>
    <t>Energie</t>
  </si>
  <si>
    <t>Infrastructures</t>
  </si>
  <si>
    <t>Centre de coûts</t>
  </si>
  <si>
    <t>Nature de dépense</t>
  </si>
  <si>
    <t>MATERIEL</t>
  </si>
  <si>
    <t>Centre de coût</t>
  </si>
  <si>
    <t>Indicateur</t>
  </si>
  <si>
    <t>Resultat</t>
  </si>
  <si>
    <t>Nombre total de lignes</t>
  </si>
  <si>
    <t>Nombre d'écarts significatifs</t>
  </si>
  <si>
    <t>Nombre d'écarts positifs</t>
  </si>
  <si>
    <t>Nombre d'écarts négatifs</t>
  </si>
  <si>
    <t>Écart positif maximum</t>
  </si>
  <si>
    <t>Écart négatif maximum</t>
  </si>
  <si>
    <t>Nature</t>
  </si>
  <si>
    <t>Budget</t>
  </si>
  <si>
    <t>Réel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</si>
</sst>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9" fontId="0" fillId="0" borderId="0" xfId="1" applyFon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170" fontId="1" fillId="0" borderId="0" xfId="0" applyNumberFormat="1" applyFont="1"/>
  </cellXfs>
  <cellStyles count="2">
    <cellStyle name="Normal" xfId="0" builtinId="0"/>
    <cellStyle name="Pourcentage" xfId="1" builtinId="5"/>
  </cellStyles>
  <dxfs count="5">
    <dxf>
      <numFmt numFmtId="170" formatCode="yyyy\-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CBEB6-2C51-400E-908C-5AFEEBFE6F45}" name="Tableau1" displayName="Tableau1" ref="A1:L865" totalsRowShown="0" headerRowDxfId="1" headerRowBorderDxfId="3" tableBorderDxfId="4">
  <autoFilter ref="A1:L865" xr:uid="{84FCBEB6-2C51-400E-908C-5AFEEBFE6F45}"/>
  <tableColumns count="12">
    <tableColumn id="1" xr3:uid="{9DB77272-A5EA-45FD-A49B-8083BC5108B1}" name="Mois"/>
    <tableColumn id="2" xr3:uid="{3450F686-3929-4B5A-802B-5845053F1B8D}" name="Mois_date" dataDxfId="0"/>
    <tableColumn id="3" xr3:uid="{B11FAE9D-BE8B-4F52-B0DA-A4C6390E5553}" name="Business_Unit_Code"/>
    <tableColumn id="4" xr3:uid="{83A30796-41A2-4807-88C5-A84922B560C7}" name="Business_Unit"/>
    <tableColumn id="5" xr3:uid="{67334675-B8AD-4706-8B50-E84FE1FD50F6}" name="Centre_Cout_Code"/>
    <tableColumn id="6" xr3:uid="{D0783803-47C8-4249-8D2E-30FD6B6177E1}" name="Centre_Cout"/>
    <tableColumn id="7" xr3:uid="{18168BFB-8D99-4849-B79B-C63BC207D66F}" name="Nature_Depense"/>
    <tableColumn id="8" xr3:uid="{993CB28B-0CB1-4F3C-B597-35403B01C60E}" name="Budget_EUR"/>
    <tableColumn id="9" xr3:uid="{4E410C81-0CC9-468F-A67A-FAD9D94B6CAA}" name="Reel_EUR"/>
    <tableColumn id="10" xr3:uid="{6FB8CBEA-A966-4943-BE20-E46A7C1DCE56}" name="Écart €"/>
    <tableColumn id="11" xr3:uid="{6AD3DFD4-85FA-4FC1-8BDC-51906D5AD04C}" name="Écart %" dataDxfId="2"/>
    <tableColumn id="12" xr3:uid="{76AD6501-D3A0-44DB-ACAC-638DE4479943}" name="Significati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5"/>
  <sheetViews>
    <sheetView tabSelected="1" topLeftCell="B1" zoomScale="80" zoomScaleNormal="80" workbookViewId="0">
      <selection activeCell="L4" sqref="L4"/>
    </sheetView>
  </sheetViews>
  <sheetFormatPr baseColWidth="10" defaultColWidth="8.88671875" defaultRowHeight="14.4" x14ac:dyDescent="0.3"/>
  <cols>
    <col min="1" max="1" width="11" bestFit="1" customWidth="1"/>
    <col min="2" max="2" width="15.77734375" style="7" bestFit="1" customWidth="1"/>
    <col min="3" max="3" width="24.33203125" bestFit="1" customWidth="1"/>
    <col min="4" max="4" width="23" bestFit="1" customWidth="1"/>
    <col min="5" max="5" width="22.44140625" bestFit="1" customWidth="1"/>
    <col min="6" max="7" width="23.44140625" bestFit="1" customWidth="1"/>
    <col min="8" max="8" width="17.44140625" bestFit="1" customWidth="1"/>
    <col min="9" max="9" width="15.21875" bestFit="1" customWidth="1"/>
    <col min="10" max="10" width="12.6640625" bestFit="1" customWidth="1"/>
    <col min="11" max="11" width="13.21875" style="1" bestFit="1" customWidth="1"/>
    <col min="12" max="12" width="16" bestFit="1" customWidth="1"/>
  </cols>
  <sheetData>
    <row r="1" spans="1:12" x14ac:dyDescent="0.3">
      <c r="A1" s="2" t="s">
        <v>0</v>
      </c>
      <c r="B1" s="6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52</v>
      </c>
      <c r="K1" s="3" t="s">
        <v>53</v>
      </c>
      <c r="L1" s="2" t="s">
        <v>54</v>
      </c>
    </row>
    <row r="2" spans="1:12" x14ac:dyDescent="0.3">
      <c r="A2" t="s">
        <v>9</v>
      </c>
      <c r="B2" s="7">
        <v>45658</v>
      </c>
      <c r="C2" t="s">
        <v>21</v>
      </c>
      <c r="D2" t="s">
        <v>25</v>
      </c>
      <c r="E2" t="s">
        <v>29</v>
      </c>
      <c r="F2" t="s">
        <v>41</v>
      </c>
      <c r="G2" t="s">
        <v>45</v>
      </c>
      <c r="H2">
        <v>6335.71</v>
      </c>
      <c r="I2">
        <v>7373.09</v>
      </c>
      <c r="J2">
        <v>1037.3800000000001</v>
      </c>
      <c r="K2" s="1">
        <v>16.373539824265901</v>
      </c>
      <c r="L2" t="s">
        <v>55</v>
      </c>
    </row>
    <row r="3" spans="1:12" x14ac:dyDescent="0.3">
      <c r="A3" t="s">
        <v>9</v>
      </c>
      <c r="B3" s="7">
        <v>45658</v>
      </c>
      <c r="C3" t="s">
        <v>21</v>
      </c>
      <c r="D3" t="s">
        <v>25</v>
      </c>
      <c r="E3" t="s">
        <v>29</v>
      </c>
      <c r="F3" t="s">
        <v>41</v>
      </c>
      <c r="G3" t="s">
        <v>46</v>
      </c>
      <c r="H3">
        <v>10702.77</v>
      </c>
      <c r="I3">
        <v>11211.76</v>
      </c>
      <c r="J3">
        <v>508.99</v>
      </c>
      <c r="K3" s="1">
        <v>4.7556847432954248</v>
      </c>
      <c r="L3" t="s">
        <v>55</v>
      </c>
    </row>
    <row r="4" spans="1:12" x14ac:dyDescent="0.3">
      <c r="A4" t="s">
        <v>9</v>
      </c>
      <c r="B4" s="7">
        <v>45658</v>
      </c>
      <c r="C4" t="s">
        <v>21</v>
      </c>
      <c r="D4" t="s">
        <v>25</v>
      </c>
      <c r="E4" t="s">
        <v>29</v>
      </c>
      <c r="F4" t="s">
        <v>41</v>
      </c>
      <c r="G4" t="s">
        <v>47</v>
      </c>
      <c r="H4">
        <v>15185</v>
      </c>
      <c r="I4">
        <v>13688.95</v>
      </c>
      <c r="J4">
        <v>-1496.0499999999993</v>
      </c>
      <c r="K4" s="1">
        <v>-9.852156733618699</v>
      </c>
      <c r="L4" t="s">
        <v>55</v>
      </c>
    </row>
    <row r="5" spans="1:12" x14ac:dyDescent="0.3">
      <c r="A5" t="s">
        <v>9</v>
      </c>
      <c r="B5" s="7">
        <v>45658</v>
      </c>
      <c r="C5" t="s">
        <v>21</v>
      </c>
      <c r="D5" t="s">
        <v>25</v>
      </c>
      <c r="E5" t="s">
        <v>29</v>
      </c>
      <c r="F5" t="s">
        <v>41</v>
      </c>
      <c r="G5" t="s">
        <v>48</v>
      </c>
      <c r="H5">
        <v>5493.95</v>
      </c>
      <c r="I5">
        <v>6240.24</v>
      </c>
      <c r="J5">
        <v>746.29</v>
      </c>
      <c r="K5" s="1">
        <v>13.583851327369198</v>
      </c>
      <c r="L5" t="s">
        <v>55</v>
      </c>
    </row>
    <row r="6" spans="1:12" x14ac:dyDescent="0.3">
      <c r="A6" t="s">
        <v>9</v>
      </c>
      <c r="B6" s="7">
        <v>45658</v>
      </c>
      <c r="C6" t="s">
        <v>21</v>
      </c>
      <c r="D6" t="s">
        <v>25</v>
      </c>
      <c r="E6" t="s">
        <v>29</v>
      </c>
      <c r="F6" t="s">
        <v>41</v>
      </c>
      <c r="G6" t="s">
        <v>49</v>
      </c>
      <c r="H6">
        <v>3887.34</v>
      </c>
      <c r="I6">
        <v>4212.57</v>
      </c>
      <c r="J6">
        <v>325.22999999999956</v>
      </c>
      <c r="K6" s="1">
        <v>8.3663893562178657</v>
      </c>
      <c r="L6" t="s">
        <v>55</v>
      </c>
    </row>
    <row r="7" spans="1:12" x14ac:dyDescent="0.3">
      <c r="A7" t="s">
        <v>9</v>
      </c>
      <c r="B7" s="7">
        <v>45658</v>
      </c>
      <c r="C7" t="s">
        <v>21</v>
      </c>
      <c r="D7" t="s">
        <v>25</v>
      </c>
      <c r="E7" t="s">
        <v>29</v>
      </c>
      <c r="F7" t="s">
        <v>41</v>
      </c>
      <c r="G7" t="s">
        <v>50</v>
      </c>
      <c r="H7">
        <v>4574.1000000000004</v>
      </c>
      <c r="I7">
        <v>5352.02</v>
      </c>
      <c r="J7">
        <v>777.92000000000007</v>
      </c>
      <c r="K7" s="1">
        <v>17.007061498436851</v>
      </c>
      <c r="L7" t="s">
        <v>55</v>
      </c>
    </row>
    <row r="8" spans="1:12" x14ac:dyDescent="0.3">
      <c r="A8" t="s">
        <v>9</v>
      </c>
      <c r="B8" s="7">
        <v>45658</v>
      </c>
      <c r="C8" t="s">
        <v>21</v>
      </c>
      <c r="D8" t="s">
        <v>25</v>
      </c>
      <c r="E8" t="s">
        <v>30</v>
      </c>
      <c r="F8" t="s">
        <v>42</v>
      </c>
      <c r="G8" t="s">
        <v>42</v>
      </c>
      <c r="H8">
        <v>8121.53</v>
      </c>
      <c r="I8">
        <v>7472.39</v>
      </c>
      <c r="J8">
        <v>-649.13999999999942</v>
      </c>
      <c r="K8" s="1">
        <v>-7.9928289374046448</v>
      </c>
      <c r="L8" t="s">
        <v>55</v>
      </c>
    </row>
    <row r="9" spans="1:12" x14ac:dyDescent="0.3">
      <c r="A9" t="s">
        <v>9</v>
      </c>
      <c r="B9" s="7">
        <v>45658</v>
      </c>
      <c r="C9" t="s">
        <v>21</v>
      </c>
      <c r="D9" t="s">
        <v>25</v>
      </c>
      <c r="E9" t="s">
        <v>30</v>
      </c>
      <c r="F9" t="s">
        <v>42</v>
      </c>
      <c r="G9" t="s">
        <v>46</v>
      </c>
      <c r="H9">
        <v>7731.85</v>
      </c>
      <c r="I9">
        <v>7040.04</v>
      </c>
      <c r="J9">
        <v>-691.8100000000004</v>
      </c>
      <c r="K9" s="1">
        <v>-8.9475351953284203</v>
      </c>
      <c r="L9" t="s">
        <v>55</v>
      </c>
    </row>
    <row r="10" spans="1:12" x14ac:dyDescent="0.3">
      <c r="A10" t="s">
        <v>9</v>
      </c>
      <c r="B10" s="7">
        <v>45658</v>
      </c>
      <c r="C10" t="s">
        <v>21</v>
      </c>
      <c r="D10" t="s">
        <v>25</v>
      </c>
      <c r="E10" t="s">
        <v>30</v>
      </c>
      <c r="F10" t="s">
        <v>42</v>
      </c>
      <c r="G10" t="s">
        <v>47</v>
      </c>
      <c r="H10">
        <v>16785.82</v>
      </c>
      <c r="I10">
        <v>17174.740000000002</v>
      </c>
      <c r="J10">
        <v>388.92000000000189</v>
      </c>
      <c r="K10" s="1">
        <v>2.31695562087525</v>
      </c>
      <c r="L10" t="s">
        <v>55</v>
      </c>
    </row>
    <row r="11" spans="1:12" x14ac:dyDescent="0.3">
      <c r="A11" t="s">
        <v>9</v>
      </c>
      <c r="B11" s="7">
        <v>45658</v>
      </c>
      <c r="C11" t="s">
        <v>21</v>
      </c>
      <c r="D11" t="s">
        <v>25</v>
      </c>
      <c r="E11" t="s">
        <v>30</v>
      </c>
      <c r="F11" t="s">
        <v>42</v>
      </c>
      <c r="G11" t="s">
        <v>48</v>
      </c>
      <c r="H11">
        <v>7064.17</v>
      </c>
      <c r="I11">
        <v>6683.45</v>
      </c>
      <c r="J11">
        <v>-380.72000000000025</v>
      </c>
      <c r="K11" s="1">
        <v>-5.3894512731148918</v>
      </c>
      <c r="L11" t="s">
        <v>55</v>
      </c>
    </row>
    <row r="12" spans="1:12" x14ac:dyDescent="0.3">
      <c r="A12" t="s">
        <v>9</v>
      </c>
      <c r="B12" s="7">
        <v>45658</v>
      </c>
      <c r="C12" t="s">
        <v>21</v>
      </c>
      <c r="D12" t="s">
        <v>25</v>
      </c>
      <c r="E12" t="s">
        <v>30</v>
      </c>
      <c r="F12" t="s">
        <v>42</v>
      </c>
      <c r="G12" t="s">
        <v>49</v>
      </c>
      <c r="H12">
        <v>3909.89</v>
      </c>
      <c r="I12">
        <v>3503.39</v>
      </c>
      <c r="J12">
        <v>-406.5</v>
      </c>
      <c r="K12" s="1">
        <v>-10.396711927957053</v>
      </c>
      <c r="L12" t="s">
        <v>55</v>
      </c>
    </row>
    <row r="13" spans="1:12" x14ac:dyDescent="0.3">
      <c r="A13" t="s">
        <v>9</v>
      </c>
      <c r="B13" s="7">
        <v>45658</v>
      </c>
      <c r="C13" t="s">
        <v>21</v>
      </c>
      <c r="D13" t="s">
        <v>25</v>
      </c>
      <c r="E13" t="s">
        <v>30</v>
      </c>
      <c r="F13" t="s">
        <v>42</v>
      </c>
      <c r="G13" t="s">
        <v>51</v>
      </c>
      <c r="H13">
        <v>5551.72</v>
      </c>
      <c r="I13">
        <v>5390.16</v>
      </c>
      <c r="J13">
        <v>-161.5600000000004</v>
      </c>
      <c r="K13" s="1">
        <v>-2.9100891255322745</v>
      </c>
      <c r="L13" t="s">
        <v>55</v>
      </c>
    </row>
    <row r="14" spans="1:12" x14ac:dyDescent="0.3">
      <c r="A14" t="s">
        <v>9</v>
      </c>
      <c r="B14" s="7">
        <v>45658</v>
      </c>
      <c r="C14" t="s">
        <v>21</v>
      </c>
      <c r="D14" t="s">
        <v>25</v>
      </c>
      <c r="E14" t="s">
        <v>31</v>
      </c>
      <c r="F14" t="s">
        <v>43</v>
      </c>
      <c r="G14" t="s">
        <v>45</v>
      </c>
      <c r="H14">
        <v>6653.67</v>
      </c>
      <c r="I14">
        <v>7379.64</v>
      </c>
      <c r="J14">
        <v>725.97000000000025</v>
      </c>
      <c r="K14" s="1">
        <v>10.910820644847133</v>
      </c>
      <c r="L14" t="s">
        <v>55</v>
      </c>
    </row>
    <row r="15" spans="1:12" x14ac:dyDescent="0.3">
      <c r="A15" t="s">
        <v>9</v>
      </c>
      <c r="B15" s="7">
        <v>45658</v>
      </c>
      <c r="C15" t="s">
        <v>21</v>
      </c>
      <c r="D15" t="s">
        <v>25</v>
      </c>
      <c r="E15" t="s">
        <v>31</v>
      </c>
      <c r="F15" t="s">
        <v>43</v>
      </c>
      <c r="G15" t="s">
        <v>46</v>
      </c>
      <c r="H15">
        <v>7828.24</v>
      </c>
      <c r="I15">
        <v>7982.43</v>
      </c>
      <c r="J15">
        <v>154.19000000000051</v>
      </c>
      <c r="K15" s="1">
        <v>1.9696636791922641</v>
      </c>
      <c r="L15" t="s">
        <v>55</v>
      </c>
    </row>
    <row r="16" spans="1:12" x14ac:dyDescent="0.3">
      <c r="A16" t="s">
        <v>9</v>
      </c>
      <c r="B16" s="7">
        <v>45658</v>
      </c>
      <c r="C16" t="s">
        <v>21</v>
      </c>
      <c r="D16" t="s">
        <v>25</v>
      </c>
      <c r="E16" t="s">
        <v>31</v>
      </c>
      <c r="F16" t="s">
        <v>43</v>
      </c>
      <c r="G16" t="s">
        <v>47</v>
      </c>
      <c r="H16">
        <v>19898.080000000002</v>
      </c>
      <c r="I16">
        <v>17218.38</v>
      </c>
      <c r="J16">
        <v>-2679.7000000000007</v>
      </c>
      <c r="K16" s="1">
        <v>-13.467128486768576</v>
      </c>
      <c r="L16" t="s">
        <v>55</v>
      </c>
    </row>
    <row r="17" spans="1:12" x14ac:dyDescent="0.3">
      <c r="A17" t="s">
        <v>9</v>
      </c>
      <c r="B17" s="7">
        <v>45658</v>
      </c>
      <c r="C17" t="s">
        <v>21</v>
      </c>
      <c r="D17" t="s">
        <v>25</v>
      </c>
      <c r="E17" t="s">
        <v>31</v>
      </c>
      <c r="F17" t="s">
        <v>43</v>
      </c>
      <c r="G17" t="s">
        <v>48</v>
      </c>
      <c r="H17">
        <v>7801.69</v>
      </c>
      <c r="I17">
        <v>7070.46</v>
      </c>
      <c r="J17">
        <v>-731.22999999999956</v>
      </c>
      <c r="K17" s="1">
        <v>-9.3727128352959372</v>
      </c>
      <c r="L17" t="s">
        <v>55</v>
      </c>
    </row>
    <row r="18" spans="1:12" x14ac:dyDescent="0.3">
      <c r="A18" t="s">
        <v>9</v>
      </c>
      <c r="B18" s="7">
        <v>45658</v>
      </c>
      <c r="C18" t="s">
        <v>21</v>
      </c>
      <c r="D18" t="s">
        <v>25</v>
      </c>
      <c r="E18" t="s">
        <v>31</v>
      </c>
      <c r="F18" t="s">
        <v>43</v>
      </c>
      <c r="G18" t="s">
        <v>49</v>
      </c>
      <c r="H18">
        <v>2761.61</v>
      </c>
      <c r="I18">
        <v>3212.12</v>
      </c>
      <c r="J18">
        <v>450.50999999999976</v>
      </c>
      <c r="K18" s="1">
        <v>16.31330998946266</v>
      </c>
      <c r="L18" t="s">
        <v>55</v>
      </c>
    </row>
    <row r="19" spans="1:12" x14ac:dyDescent="0.3">
      <c r="A19" t="s">
        <v>9</v>
      </c>
      <c r="B19" s="7">
        <v>45658</v>
      </c>
      <c r="C19" t="s">
        <v>21</v>
      </c>
      <c r="D19" t="s">
        <v>25</v>
      </c>
      <c r="E19" t="s">
        <v>31</v>
      </c>
      <c r="F19" t="s">
        <v>43</v>
      </c>
      <c r="G19" t="s">
        <v>51</v>
      </c>
      <c r="H19">
        <v>7976.28</v>
      </c>
      <c r="I19">
        <v>8907.67</v>
      </c>
      <c r="J19">
        <v>931.39000000000033</v>
      </c>
      <c r="K19" s="1">
        <v>11.676997296985567</v>
      </c>
      <c r="L19" t="s">
        <v>55</v>
      </c>
    </row>
    <row r="20" spans="1:12" x14ac:dyDescent="0.3">
      <c r="A20" t="s">
        <v>9</v>
      </c>
      <c r="B20" s="7">
        <v>45658</v>
      </c>
      <c r="C20" t="s">
        <v>22</v>
      </c>
      <c r="D20" t="s">
        <v>26</v>
      </c>
      <c r="E20" t="s">
        <v>32</v>
      </c>
      <c r="F20" t="s">
        <v>41</v>
      </c>
      <c r="G20" t="s">
        <v>45</v>
      </c>
      <c r="H20">
        <v>6062.99</v>
      </c>
      <c r="I20">
        <v>5348.97</v>
      </c>
      <c r="J20">
        <v>-714.01999999999953</v>
      </c>
      <c r="K20" s="1">
        <v>-11.776697635984878</v>
      </c>
      <c r="L20" t="s">
        <v>55</v>
      </c>
    </row>
    <row r="21" spans="1:12" x14ac:dyDescent="0.3">
      <c r="A21" t="s">
        <v>9</v>
      </c>
      <c r="B21" s="7">
        <v>45658</v>
      </c>
      <c r="C21" t="s">
        <v>22</v>
      </c>
      <c r="D21" t="s">
        <v>26</v>
      </c>
      <c r="E21" t="s">
        <v>32</v>
      </c>
      <c r="F21" t="s">
        <v>41</v>
      </c>
      <c r="G21" t="s">
        <v>46</v>
      </c>
      <c r="H21">
        <v>10444.86</v>
      </c>
      <c r="I21">
        <v>10395.25</v>
      </c>
      <c r="J21">
        <v>-49.610000000000582</v>
      </c>
      <c r="K21" s="1">
        <v>-0.47497046394112108</v>
      </c>
      <c r="L21" t="s">
        <v>55</v>
      </c>
    </row>
    <row r="22" spans="1:12" x14ac:dyDescent="0.3">
      <c r="A22" t="s">
        <v>9</v>
      </c>
      <c r="B22" s="7">
        <v>45658</v>
      </c>
      <c r="C22" t="s">
        <v>22</v>
      </c>
      <c r="D22" t="s">
        <v>26</v>
      </c>
      <c r="E22" t="s">
        <v>32</v>
      </c>
      <c r="F22" t="s">
        <v>41</v>
      </c>
      <c r="G22" t="s">
        <v>47</v>
      </c>
      <c r="H22">
        <v>14818.01</v>
      </c>
      <c r="I22">
        <v>15016.7</v>
      </c>
      <c r="J22">
        <v>198.69000000000051</v>
      </c>
      <c r="K22" s="1">
        <v>1.3408683082276265</v>
      </c>
      <c r="L22" t="s">
        <v>55</v>
      </c>
    </row>
    <row r="23" spans="1:12" x14ac:dyDescent="0.3">
      <c r="A23" t="s">
        <v>9</v>
      </c>
      <c r="B23" s="7">
        <v>45658</v>
      </c>
      <c r="C23" t="s">
        <v>22</v>
      </c>
      <c r="D23" t="s">
        <v>26</v>
      </c>
      <c r="E23" t="s">
        <v>32</v>
      </c>
      <c r="F23" t="s">
        <v>41</v>
      </c>
      <c r="G23" t="s">
        <v>48</v>
      </c>
      <c r="H23">
        <v>5394.43</v>
      </c>
      <c r="I23">
        <v>6204.01</v>
      </c>
      <c r="J23">
        <v>809.57999999999993</v>
      </c>
      <c r="K23" s="1">
        <v>15.007702389316385</v>
      </c>
      <c r="L23" t="s">
        <v>55</v>
      </c>
    </row>
    <row r="24" spans="1:12" x14ac:dyDescent="0.3">
      <c r="A24" t="s">
        <v>9</v>
      </c>
      <c r="B24" s="7">
        <v>45658</v>
      </c>
      <c r="C24" t="s">
        <v>22</v>
      </c>
      <c r="D24" t="s">
        <v>26</v>
      </c>
      <c r="E24" t="s">
        <v>32</v>
      </c>
      <c r="F24" t="s">
        <v>41</v>
      </c>
      <c r="G24" t="s">
        <v>49</v>
      </c>
      <c r="H24">
        <v>3168.44</v>
      </c>
      <c r="I24">
        <v>3385.9</v>
      </c>
      <c r="J24">
        <v>217.46000000000004</v>
      </c>
      <c r="K24" s="1">
        <v>6.8633144386511979</v>
      </c>
      <c r="L24" t="s">
        <v>55</v>
      </c>
    </row>
    <row r="25" spans="1:12" x14ac:dyDescent="0.3">
      <c r="A25" t="s">
        <v>9</v>
      </c>
      <c r="B25" s="7">
        <v>45658</v>
      </c>
      <c r="C25" t="s">
        <v>22</v>
      </c>
      <c r="D25" t="s">
        <v>26</v>
      </c>
      <c r="E25" t="s">
        <v>32</v>
      </c>
      <c r="F25" t="s">
        <v>41</v>
      </c>
      <c r="G25" t="s">
        <v>51</v>
      </c>
      <c r="H25">
        <v>5622.16</v>
      </c>
      <c r="I25">
        <v>5743.72</v>
      </c>
      <c r="J25">
        <v>121.5600000000004</v>
      </c>
      <c r="K25" s="1">
        <v>2.1621583163766309</v>
      </c>
      <c r="L25" t="s">
        <v>55</v>
      </c>
    </row>
    <row r="26" spans="1:12" x14ac:dyDescent="0.3">
      <c r="A26" t="s">
        <v>9</v>
      </c>
      <c r="B26" s="7">
        <v>45658</v>
      </c>
      <c r="C26" t="s">
        <v>22</v>
      </c>
      <c r="D26" t="s">
        <v>26</v>
      </c>
      <c r="E26" t="s">
        <v>33</v>
      </c>
      <c r="F26" t="s">
        <v>42</v>
      </c>
      <c r="G26" t="s">
        <v>45</v>
      </c>
      <c r="H26">
        <v>7007.17</v>
      </c>
      <c r="I26">
        <v>6383.55</v>
      </c>
      <c r="J26">
        <v>-623.61999999999989</v>
      </c>
      <c r="K26" s="1">
        <v>-8.8997412650185428</v>
      </c>
      <c r="L26" t="s">
        <v>55</v>
      </c>
    </row>
    <row r="27" spans="1:12" x14ac:dyDescent="0.3">
      <c r="A27" t="s">
        <v>9</v>
      </c>
      <c r="B27" s="7">
        <v>45658</v>
      </c>
      <c r="C27" t="s">
        <v>22</v>
      </c>
      <c r="D27" t="s">
        <v>26</v>
      </c>
      <c r="E27" t="s">
        <v>33</v>
      </c>
      <c r="F27" t="s">
        <v>42</v>
      </c>
      <c r="G27" t="s">
        <v>46</v>
      </c>
      <c r="H27">
        <v>11985.76</v>
      </c>
      <c r="I27">
        <v>13253.78</v>
      </c>
      <c r="J27">
        <v>1268.0200000000004</v>
      </c>
      <c r="K27" s="1">
        <v>10.579387539880662</v>
      </c>
      <c r="L27" t="s">
        <v>55</v>
      </c>
    </row>
    <row r="28" spans="1:12" x14ac:dyDescent="0.3">
      <c r="A28" t="s">
        <v>9</v>
      </c>
      <c r="B28" s="7">
        <v>45658</v>
      </c>
      <c r="C28" t="s">
        <v>22</v>
      </c>
      <c r="D28" t="s">
        <v>26</v>
      </c>
      <c r="E28" t="s">
        <v>33</v>
      </c>
      <c r="F28" t="s">
        <v>42</v>
      </c>
      <c r="G28" t="s">
        <v>47</v>
      </c>
      <c r="H28">
        <v>23646.59</v>
      </c>
      <c r="I28">
        <v>27082.27</v>
      </c>
      <c r="J28">
        <v>3435.6800000000003</v>
      </c>
      <c r="K28" s="1">
        <v>14.529283080562569</v>
      </c>
      <c r="L28" t="s">
        <v>55</v>
      </c>
    </row>
    <row r="29" spans="1:12" x14ac:dyDescent="0.3">
      <c r="A29" t="s">
        <v>9</v>
      </c>
      <c r="B29" s="7">
        <v>45658</v>
      </c>
      <c r="C29" t="s">
        <v>22</v>
      </c>
      <c r="D29" t="s">
        <v>26</v>
      </c>
      <c r="E29" t="s">
        <v>33</v>
      </c>
      <c r="F29" t="s">
        <v>42</v>
      </c>
      <c r="G29" t="s">
        <v>48</v>
      </c>
      <c r="H29">
        <v>7761.18</v>
      </c>
      <c r="I29">
        <v>8958.1</v>
      </c>
      <c r="J29">
        <v>1196.92</v>
      </c>
      <c r="K29" s="1">
        <v>15.421881724170811</v>
      </c>
      <c r="L29" t="s">
        <v>55</v>
      </c>
    </row>
    <row r="30" spans="1:12" x14ac:dyDescent="0.3">
      <c r="A30" t="s">
        <v>9</v>
      </c>
      <c r="B30" s="7">
        <v>45658</v>
      </c>
      <c r="C30" t="s">
        <v>22</v>
      </c>
      <c r="D30" t="s">
        <v>26</v>
      </c>
      <c r="E30" t="s">
        <v>33</v>
      </c>
      <c r="F30" t="s">
        <v>42</v>
      </c>
      <c r="G30" t="s">
        <v>49</v>
      </c>
      <c r="H30">
        <v>2810.83</v>
      </c>
      <c r="I30">
        <v>2571</v>
      </c>
      <c r="J30">
        <v>-239.82999999999993</v>
      </c>
      <c r="K30" s="1">
        <v>-8.5323552118057631</v>
      </c>
      <c r="L30" t="s">
        <v>55</v>
      </c>
    </row>
    <row r="31" spans="1:12" x14ac:dyDescent="0.3">
      <c r="A31" t="s">
        <v>9</v>
      </c>
      <c r="B31" s="7">
        <v>45658</v>
      </c>
      <c r="C31" t="s">
        <v>22</v>
      </c>
      <c r="D31" t="s">
        <v>26</v>
      </c>
      <c r="E31" t="s">
        <v>33</v>
      </c>
      <c r="F31" t="s">
        <v>42</v>
      </c>
      <c r="G31" t="s">
        <v>51</v>
      </c>
      <c r="H31">
        <v>42500</v>
      </c>
      <c r="I31">
        <v>4463.99</v>
      </c>
      <c r="J31">
        <v>-38036.01</v>
      </c>
      <c r="K31" s="1">
        <v>-89.49649411764706</v>
      </c>
      <c r="L31" t="s">
        <v>56</v>
      </c>
    </row>
    <row r="32" spans="1:12" x14ac:dyDescent="0.3">
      <c r="A32" t="s">
        <v>9</v>
      </c>
      <c r="B32" s="7">
        <v>45658</v>
      </c>
      <c r="C32" t="s">
        <v>22</v>
      </c>
      <c r="D32" t="s">
        <v>26</v>
      </c>
      <c r="E32" t="s">
        <v>34</v>
      </c>
      <c r="F32" t="s">
        <v>43</v>
      </c>
      <c r="G32" t="s">
        <v>45</v>
      </c>
      <c r="H32">
        <v>6390.84</v>
      </c>
      <c r="I32">
        <v>6004.48</v>
      </c>
      <c r="J32">
        <v>-386.36000000000058</v>
      </c>
      <c r="K32" s="1">
        <v>-6.0455276614654814</v>
      </c>
      <c r="L32" t="s">
        <v>55</v>
      </c>
    </row>
    <row r="33" spans="1:12" x14ac:dyDescent="0.3">
      <c r="A33" t="s">
        <v>9</v>
      </c>
      <c r="B33" s="7">
        <v>45658</v>
      </c>
      <c r="C33" t="s">
        <v>22</v>
      </c>
      <c r="D33" t="s">
        <v>26</v>
      </c>
      <c r="E33" t="s">
        <v>34</v>
      </c>
      <c r="F33" t="s">
        <v>43</v>
      </c>
      <c r="G33" t="s">
        <v>46</v>
      </c>
      <c r="H33">
        <v>11225.18</v>
      </c>
      <c r="I33">
        <v>10862.93</v>
      </c>
      <c r="J33">
        <v>-362.25</v>
      </c>
      <c r="K33" s="1">
        <v>-3.2271197432914214</v>
      </c>
      <c r="L33" t="s">
        <v>55</v>
      </c>
    </row>
    <row r="34" spans="1:12" x14ac:dyDescent="0.3">
      <c r="A34" t="s">
        <v>9</v>
      </c>
      <c r="B34" s="7">
        <v>45658</v>
      </c>
      <c r="C34" t="s">
        <v>22</v>
      </c>
      <c r="D34" t="s">
        <v>26</v>
      </c>
      <c r="E34" t="s">
        <v>34</v>
      </c>
      <c r="F34" t="s">
        <v>43</v>
      </c>
      <c r="G34" t="s">
        <v>47</v>
      </c>
      <c r="H34">
        <v>16534.09</v>
      </c>
      <c r="I34">
        <v>17015.060000000001</v>
      </c>
      <c r="J34">
        <v>480.97000000000116</v>
      </c>
      <c r="K34" s="1">
        <v>2.9089596101146245</v>
      </c>
      <c r="L34" t="s">
        <v>55</v>
      </c>
    </row>
    <row r="35" spans="1:12" x14ac:dyDescent="0.3">
      <c r="A35" t="s">
        <v>9</v>
      </c>
      <c r="B35" s="7">
        <v>45658</v>
      </c>
      <c r="C35" t="s">
        <v>22</v>
      </c>
      <c r="D35" t="s">
        <v>26</v>
      </c>
      <c r="E35" t="s">
        <v>34</v>
      </c>
      <c r="F35" t="s">
        <v>43</v>
      </c>
      <c r="G35" t="s">
        <v>48</v>
      </c>
      <c r="H35">
        <v>5841.88</v>
      </c>
      <c r="I35">
        <v>6512.09</v>
      </c>
      <c r="J35">
        <v>670.21</v>
      </c>
      <c r="K35" s="1">
        <v>11.472505426335358</v>
      </c>
      <c r="L35" t="s">
        <v>55</v>
      </c>
    </row>
    <row r="36" spans="1:12" x14ac:dyDescent="0.3">
      <c r="A36" t="s">
        <v>9</v>
      </c>
      <c r="B36" s="7">
        <v>45658</v>
      </c>
      <c r="C36" t="s">
        <v>22</v>
      </c>
      <c r="D36" t="s">
        <v>26</v>
      </c>
      <c r="E36" t="s">
        <v>34</v>
      </c>
      <c r="F36" t="s">
        <v>43</v>
      </c>
      <c r="G36" t="s">
        <v>49</v>
      </c>
      <c r="H36">
        <v>2781.56</v>
      </c>
      <c r="I36">
        <v>3270.2</v>
      </c>
      <c r="J36">
        <v>488.63999999999987</v>
      </c>
      <c r="K36" s="1">
        <v>17.567120608579355</v>
      </c>
      <c r="L36" t="s">
        <v>55</v>
      </c>
    </row>
    <row r="37" spans="1:12" x14ac:dyDescent="0.3">
      <c r="A37" t="s">
        <v>9</v>
      </c>
      <c r="B37" s="7">
        <v>45658</v>
      </c>
      <c r="C37" t="s">
        <v>22</v>
      </c>
      <c r="D37" t="s">
        <v>26</v>
      </c>
      <c r="E37" t="s">
        <v>34</v>
      </c>
      <c r="F37" t="s">
        <v>43</v>
      </c>
      <c r="G37" t="s">
        <v>51</v>
      </c>
      <c r="H37">
        <v>7280.08</v>
      </c>
      <c r="I37">
        <v>6665.47</v>
      </c>
      <c r="J37">
        <v>-614.60999999999967</v>
      </c>
      <c r="K37" s="1">
        <v>-8.4423522818430516</v>
      </c>
      <c r="L37" t="s">
        <v>55</v>
      </c>
    </row>
    <row r="38" spans="1:12" x14ac:dyDescent="0.3">
      <c r="A38" t="s">
        <v>9</v>
      </c>
      <c r="B38" s="7">
        <v>45658</v>
      </c>
      <c r="C38" t="s">
        <v>23</v>
      </c>
      <c r="D38" t="s">
        <v>27</v>
      </c>
      <c r="E38" t="s">
        <v>35</v>
      </c>
      <c r="F38" t="s">
        <v>41</v>
      </c>
      <c r="G38" t="s">
        <v>45</v>
      </c>
      <c r="H38">
        <v>4896.54</v>
      </c>
      <c r="I38">
        <v>5479.72</v>
      </c>
      <c r="J38">
        <v>583.18000000000029</v>
      </c>
      <c r="K38" s="1">
        <v>11.91004260151046</v>
      </c>
      <c r="L38" t="s">
        <v>55</v>
      </c>
    </row>
    <row r="39" spans="1:12" x14ac:dyDescent="0.3">
      <c r="A39" t="s">
        <v>9</v>
      </c>
      <c r="B39" s="7">
        <v>45658</v>
      </c>
      <c r="C39" t="s">
        <v>23</v>
      </c>
      <c r="D39" t="s">
        <v>27</v>
      </c>
      <c r="E39" t="s">
        <v>35</v>
      </c>
      <c r="F39" t="s">
        <v>41</v>
      </c>
      <c r="G39" t="s">
        <v>46</v>
      </c>
      <c r="H39">
        <v>10567.03</v>
      </c>
      <c r="I39">
        <v>11524.11</v>
      </c>
      <c r="J39">
        <v>957.07999999999993</v>
      </c>
      <c r="K39" s="1">
        <v>9.0572280006775774</v>
      </c>
      <c r="L39" t="s">
        <v>55</v>
      </c>
    </row>
    <row r="40" spans="1:12" x14ac:dyDescent="0.3">
      <c r="A40" t="s">
        <v>9</v>
      </c>
      <c r="B40" s="7">
        <v>45658</v>
      </c>
      <c r="C40" t="s">
        <v>23</v>
      </c>
      <c r="D40" t="s">
        <v>27</v>
      </c>
      <c r="E40" t="s">
        <v>35</v>
      </c>
      <c r="F40" t="s">
        <v>41</v>
      </c>
      <c r="G40" t="s">
        <v>47</v>
      </c>
      <c r="H40">
        <v>21829.72</v>
      </c>
      <c r="I40">
        <v>19088.669999999998</v>
      </c>
      <c r="J40">
        <v>-2741.0500000000029</v>
      </c>
      <c r="K40" s="1">
        <v>-12.556505534656434</v>
      </c>
      <c r="L40" t="s">
        <v>55</v>
      </c>
    </row>
    <row r="41" spans="1:12" x14ac:dyDescent="0.3">
      <c r="A41" t="s">
        <v>9</v>
      </c>
      <c r="B41" s="7">
        <v>45658</v>
      </c>
      <c r="C41" t="s">
        <v>23</v>
      </c>
      <c r="D41" t="s">
        <v>27</v>
      </c>
      <c r="E41" t="s">
        <v>35</v>
      </c>
      <c r="F41" t="s">
        <v>41</v>
      </c>
      <c r="G41" t="s">
        <v>48</v>
      </c>
      <c r="H41">
        <v>6755.56</v>
      </c>
      <c r="I41">
        <v>6000.53</v>
      </c>
      <c r="J41">
        <v>-755.03000000000065</v>
      </c>
      <c r="K41" s="1">
        <v>-11.176423568142399</v>
      </c>
      <c r="L41" t="s">
        <v>55</v>
      </c>
    </row>
    <row r="42" spans="1:12" x14ac:dyDescent="0.3">
      <c r="A42" t="s">
        <v>9</v>
      </c>
      <c r="B42" s="7">
        <v>45658</v>
      </c>
      <c r="C42" t="s">
        <v>23</v>
      </c>
      <c r="D42" t="s">
        <v>27</v>
      </c>
      <c r="E42" t="s">
        <v>35</v>
      </c>
      <c r="F42" t="s">
        <v>41</v>
      </c>
      <c r="G42" t="s">
        <v>49</v>
      </c>
      <c r="H42">
        <v>4437.5200000000004</v>
      </c>
      <c r="I42">
        <v>4684.6400000000003</v>
      </c>
      <c r="J42">
        <v>247.11999999999989</v>
      </c>
      <c r="K42" s="1">
        <v>5.5688763092898705</v>
      </c>
      <c r="L42" t="s">
        <v>55</v>
      </c>
    </row>
    <row r="43" spans="1:12" x14ac:dyDescent="0.3">
      <c r="A43" t="s">
        <v>9</v>
      </c>
      <c r="B43" s="7">
        <v>45658</v>
      </c>
      <c r="C43" t="s">
        <v>23</v>
      </c>
      <c r="D43" t="s">
        <v>27</v>
      </c>
      <c r="E43" t="s">
        <v>35</v>
      </c>
      <c r="F43" t="s">
        <v>41</v>
      </c>
      <c r="G43" t="s">
        <v>51</v>
      </c>
      <c r="H43">
        <v>5691.23</v>
      </c>
      <c r="I43">
        <v>4956.92</v>
      </c>
      <c r="J43">
        <v>-734.30999999999949</v>
      </c>
      <c r="K43" s="1">
        <v>-12.902483294472363</v>
      </c>
      <c r="L43" t="s">
        <v>55</v>
      </c>
    </row>
    <row r="44" spans="1:12" x14ac:dyDescent="0.3">
      <c r="A44" t="s">
        <v>9</v>
      </c>
      <c r="B44" s="7">
        <v>45658</v>
      </c>
      <c r="C44" t="s">
        <v>23</v>
      </c>
      <c r="D44" t="s">
        <v>27</v>
      </c>
      <c r="E44" t="s">
        <v>36</v>
      </c>
      <c r="F44" t="s">
        <v>44</v>
      </c>
      <c r="G44" t="s">
        <v>45</v>
      </c>
      <c r="H44">
        <v>6087.83</v>
      </c>
      <c r="I44">
        <v>5827.94</v>
      </c>
      <c r="J44">
        <v>-259.89000000000033</v>
      </c>
      <c r="K44" s="1">
        <v>-4.2690088258049315</v>
      </c>
      <c r="L44" t="s">
        <v>55</v>
      </c>
    </row>
    <row r="45" spans="1:12" x14ac:dyDescent="0.3">
      <c r="A45" t="s">
        <v>9</v>
      </c>
      <c r="B45" s="7">
        <v>45658</v>
      </c>
      <c r="C45" t="s">
        <v>23</v>
      </c>
      <c r="D45" t="s">
        <v>27</v>
      </c>
      <c r="E45" t="s">
        <v>36</v>
      </c>
      <c r="F45" t="s">
        <v>44</v>
      </c>
      <c r="G45" t="s">
        <v>46</v>
      </c>
      <c r="H45">
        <v>10689.87</v>
      </c>
      <c r="I45">
        <v>11335.48</v>
      </c>
      <c r="J45">
        <v>645.60999999999876</v>
      </c>
      <c r="K45" s="1">
        <v>6.0394560457704225</v>
      </c>
      <c r="L45" t="s">
        <v>55</v>
      </c>
    </row>
    <row r="46" spans="1:12" x14ac:dyDescent="0.3">
      <c r="A46" t="s">
        <v>9</v>
      </c>
      <c r="B46" s="7">
        <v>45658</v>
      </c>
      <c r="C46" t="s">
        <v>23</v>
      </c>
      <c r="D46" t="s">
        <v>27</v>
      </c>
      <c r="E46" t="s">
        <v>36</v>
      </c>
      <c r="F46" t="s">
        <v>44</v>
      </c>
      <c r="G46" t="s">
        <v>47</v>
      </c>
      <c r="H46">
        <v>23081.9</v>
      </c>
      <c r="I46">
        <v>23216.49</v>
      </c>
      <c r="J46">
        <v>134.59000000000015</v>
      </c>
      <c r="K46" s="1">
        <v>0.58309757862221101</v>
      </c>
      <c r="L46" t="s">
        <v>55</v>
      </c>
    </row>
    <row r="47" spans="1:12" x14ac:dyDescent="0.3">
      <c r="A47" t="s">
        <v>9</v>
      </c>
      <c r="B47" s="7">
        <v>45658</v>
      </c>
      <c r="C47" t="s">
        <v>23</v>
      </c>
      <c r="D47" t="s">
        <v>27</v>
      </c>
      <c r="E47" t="s">
        <v>36</v>
      </c>
      <c r="F47" t="s">
        <v>44</v>
      </c>
      <c r="G47" t="s">
        <v>48</v>
      </c>
      <c r="H47">
        <v>5752.3</v>
      </c>
      <c r="I47">
        <v>6243.37</v>
      </c>
      <c r="J47">
        <v>491.06999999999971</v>
      </c>
      <c r="K47" s="1">
        <v>8.5369330528658054</v>
      </c>
      <c r="L47" t="s">
        <v>55</v>
      </c>
    </row>
    <row r="48" spans="1:12" x14ac:dyDescent="0.3">
      <c r="A48" t="s">
        <v>9</v>
      </c>
      <c r="B48" s="7">
        <v>45658</v>
      </c>
      <c r="C48" t="s">
        <v>23</v>
      </c>
      <c r="D48" t="s">
        <v>27</v>
      </c>
      <c r="E48" t="s">
        <v>36</v>
      </c>
      <c r="F48" t="s">
        <v>44</v>
      </c>
      <c r="G48" t="s">
        <v>49</v>
      </c>
      <c r="H48">
        <v>4222.6499999999996</v>
      </c>
      <c r="I48">
        <v>4371.38</v>
      </c>
      <c r="J48">
        <v>148.73000000000047</v>
      </c>
      <c r="K48" s="1">
        <v>3.522195777533077</v>
      </c>
      <c r="L48" t="s">
        <v>55</v>
      </c>
    </row>
    <row r="49" spans="1:12" x14ac:dyDescent="0.3">
      <c r="A49" t="s">
        <v>9</v>
      </c>
      <c r="B49" s="7">
        <v>45658</v>
      </c>
      <c r="C49" t="s">
        <v>23</v>
      </c>
      <c r="D49" t="s">
        <v>27</v>
      </c>
      <c r="E49" t="s">
        <v>36</v>
      </c>
      <c r="F49" t="s">
        <v>44</v>
      </c>
      <c r="G49" t="s">
        <v>51</v>
      </c>
      <c r="H49">
        <v>7275.48</v>
      </c>
      <c r="I49">
        <v>-500</v>
      </c>
      <c r="J49">
        <v>-7775.48</v>
      </c>
      <c r="K49" s="1">
        <v>-106.87239879705533</v>
      </c>
      <c r="L49" t="s">
        <v>55</v>
      </c>
    </row>
    <row r="50" spans="1:12" x14ac:dyDescent="0.3">
      <c r="A50" t="s">
        <v>9</v>
      </c>
      <c r="B50" s="7">
        <v>45658</v>
      </c>
      <c r="C50" t="s">
        <v>23</v>
      </c>
      <c r="D50" t="s">
        <v>27</v>
      </c>
      <c r="E50" t="s">
        <v>37</v>
      </c>
      <c r="F50" t="s">
        <v>43</v>
      </c>
      <c r="G50" t="s">
        <v>45</v>
      </c>
      <c r="H50">
        <v>6913.66</v>
      </c>
      <c r="I50">
        <v>6852.05</v>
      </c>
      <c r="J50">
        <v>-61.609999999999673</v>
      </c>
      <c r="K50" s="1">
        <v>-0.89113436298573667</v>
      </c>
      <c r="L50" t="s">
        <v>55</v>
      </c>
    </row>
    <row r="51" spans="1:12" x14ac:dyDescent="0.3">
      <c r="A51" t="s">
        <v>9</v>
      </c>
      <c r="B51" s="7">
        <v>45658</v>
      </c>
      <c r="C51" t="s">
        <v>23</v>
      </c>
      <c r="D51" t="s">
        <v>27</v>
      </c>
      <c r="E51" t="s">
        <v>37</v>
      </c>
      <c r="F51" t="s">
        <v>43</v>
      </c>
      <c r="G51" t="s">
        <v>46</v>
      </c>
      <c r="H51">
        <v>6887.26</v>
      </c>
      <c r="I51">
        <v>6099.39</v>
      </c>
      <c r="J51">
        <v>-787.86999999999989</v>
      </c>
      <c r="K51" s="1">
        <v>-11.439527475367562</v>
      </c>
      <c r="L51" t="s">
        <v>55</v>
      </c>
    </row>
    <row r="52" spans="1:12" x14ac:dyDescent="0.3">
      <c r="A52" t="s">
        <v>9</v>
      </c>
      <c r="B52" s="7">
        <v>45658</v>
      </c>
      <c r="C52" t="s">
        <v>23</v>
      </c>
      <c r="D52" t="s">
        <v>27</v>
      </c>
      <c r="E52" t="s">
        <v>37</v>
      </c>
      <c r="F52" t="s">
        <v>43</v>
      </c>
      <c r="G52" t="s">
        <v>47</v>
      </c>
      <c r="H52">
        <v>13839.44</v>
      </c>
      <c r="I52">
        <v>14670.01</v>
      </c>
      <c r="J52">
        <v>830.56999999999971</v>
      </c>
      <c r="K52" s="1">
        <v>6.0014711577925093</v>
      </c>
      <c r="L52" t="s">
        <v>55</v>
      </c>
    </row>
    <row r="53" spans="1:12" x14ac:dyDescent="0.3">
      <c r="A53" t="s">
        <v>9</v>
      </c>
      <c r="B53" s="7">
        <v>45658</v>
      </c>
      <c r="C53" t="s">
        <v>23</v>
      </c>
      <c r="D53" t="s">
        <v>27</v>
      </c>
      <c r="E53" t="s">
        <v>37</v>
      </c>
      <c r="F53" t="s">
        <v>43</v>
      </c>
      <c r="G53" t="s">
        <v>48</v>
      </c>
      <c r="H53">
        <v>6570.3</v>
      </c>
      <c r="I53">
        <v>6687.43</v>
      </c>
      <c r="J53">
        <v>117.13000000000011</v>
      </c>
      <c r="K53" s="1">
        <v>1.7827192061245316</v>
      </c>
      <c r="L53" t="s">
        <v>55</v>
      </c>
    </row>
    <row r="54" spans="1:12" x14ac:dyDescent="0.3">
      <c r="A54" t="s">
        <v>9</v>
      </c>
      <c r="B54" s="7">
        <v>45658</v>
      </c>
      <c r="C54" t="s">
        <v>23</v>
      </c>
      <c r="D54" t="s">
        <v>27</v>
      </c>
      <c r="E54" t="s">
        <v>37</v>
      </c>
      <c r="F54" t="s">
        <v>43</v>
      </c>
      <c r="G54" t="s">
        <v>49</v>
      </c>
      <c r="H54">
        <v>4530.8900000000003</v>
      </c>
      <c r="I54">
        <v>4224</v>
      </c>
      <c r="J54">
        <v>-306.89000000000033</v>
      </c>
      <c r="K54" s="1">
        <v>-6.7732829532387742</v>
      </c>
      <c r="L54" t="s">
        <v>55</v>
      </c>
    </row>
    <row r="55" spans="1:12" x14ac:dyDescent="0.3">
      <c r="A55" t="s">
        <v>9</v>
      </c>
      <c r="B55" s="7">
        <v>45658</v>
      </c>
      <c r="C55" t="s">
        <v>23</v>
      </c>
      <c r="D55" t="s">
        <v>27</v>
      </c>
      <c r="E55" t="s">
        <v>37</v>
      </c>
      <c r="F55" t="s">
        <v>43</v>
      </c>
      <c r="G55" t="s">
        <v>51</v>
      </c>
      <c r="H55">
        <v>5977.38</v>
      </c>
      <c r="I55">
        <v>6571.12</v>
      </c>
      <c r="J55">
        <v>593.73999999999978</v>
      </c>
      <c r="K55" s="1">
        <v>9.9331145083631913</v>
      </c>
      <c r="L55" t="s">
        <v>55</v>
      </c>
    </row>
    <row r="56" spans="1:12" x14ac:dyDescent="0.3">
      <c r="A56" t="s">
        <v>9</v>
      </c>
      <c r="B56" s="7">
        <v>45658</v>
      </c>
      <c r="C56" t="s">
        <v>24</v>
      </c>
      <c r="D56" t="s">
        <v>28</v>
      </c>
      <c r="E56" t="s">
        <v>38</v>
      </c>
      <c r="F56" t="s">
        <v>41</v>
      </c>
      <c r="G56" t="s">
        <v>45</v>
      </c>
      <c r="H56">
        <v>5767.31</v>
      </c>
      <c r="I56">
        <v>5048.7299999999996</v>
      </c>
      <c r="J56">
        <v>-718.58000000000084</v>
      </c>
      <c r="K56" s="1">
        <v>-12.459534861139783</v>
      </c>
      <c r="L56" t="s">
        <v>55</v>
      </c>
    </row>
    <row r="57" spans="1:12" x14ac:dyDescent="0.3">
      <c r="A57" t="s">
        <v>9</v>
      </c>
      <c r="B57" s="7">
        <v>45658</v>
      </c>
      <c r="C57" t="s">
        <v>24</v>
      </c>
      <c r="D57" t="s">
        <v>28</v>
      </c>
      <c r="E57" t="s">
        <v>38</v>
      </c>
      <c r="F57" t="s">
        <v>41</v>
      </c>
      <c r="G57" t="s">
        <v>46</v>
      </c>
      <c r="H57">
        <v>8314.66</v>
      </c>
      <c r="I57">
        <v>7509.82</v>
      </c>
      <c r="J57">
        <v>-804.84000000000015</v>
      </c>
      <c r="K57" s="1">
        <v>-9.6797704295786016</v>
      </c>
      <c r="L57" t="s">
        <v>55</v>
      </c>
    </row>
    <row r="58" spans="1:12" x14ac:dyDescent="0.3">
      <c r="A58" t="s">
        <v>9</v>
      </c>
      <c r="B58" s="7">
        <v>45658</v>
      </c>
      <c r="C58" t="s">
        <v>24</v>
      </c>
      <c r="D58" t="s">
        <v>28</v>
      </c>
      <c r="E58" t="s">
        <v>38</v>
      </c>
      <c r="F58" t="s">
        <v>41</v>
      </c>
      <c r="G58" t="s">
        <v>47</v>
      </c>
      <c r="H58">
        <v>23540.73</v>
      </c>
      <c r="I58">
        <v>26287.46</v>
      </c>
      <c r="J58">
        <v>2746.7299999999996</v>
      </c>
      <c r="K58" s="1">
        <v>11.667989905155871</v>
      </c>
      <c r="L58" t="s">
        <v>55</v>
      </c>
    </row>
    <row r="59" spans="1:12" x14ac:dyDescent="0.3">
      <c r="A59" t="s">
        <v>9</v>
      </c>
      <c r="B59" s="7">
        <v>45658</v>
      </c>
      <c r="C59" t="s">
        <v>24</v>
      </c>
      <c r="D59" t="s">
        <v>28</v>
      </c>
      <c r="E59" t="s">
        <v>38</v>
      </c>
      <c r="F59" t="s">
        <v>41</v>
      </c>
      <c r="G59" t="s">
        <v>48</v>
      </c>
      <c r="H59">
        <v>7910.3</v>
      </c>
      <c r="I59">
        <v>8998.61</v>
      </c>
      <c r="J59">
        <v>1088.3100000000004</v>
      </c>
      <c r="K59" s="1">
        <v>13.758138123712127</v>
      </c>
      <c r="L59" t="s">
        <v>55</v>
      </c>
    </row>
    <row r="60" spans="1:12" x14ac:dyDescent="0.3">
      <c r="A60" t="s">
        <v>9</v>
      </c>
      <c r="B60" s="7">
        <v>45658</v>
      </c>
      <c r="C60" t="s">
        <v>24</v>
      </c>
      <c r="D60" t="s">
        <v>28</v>
      </c>
      <c r="E60" t="s">
        <v>38</v>
      </c>
      <c r="F60" t="s">
        <v>41</v>
      </c>
      <c r="G60" t="s">
        <v>49</v>
      </c>
      <c r="H60">
        <v>4312.71</v>
      </c>
      <c r="I60">
        <v>3931.33</v>
      </c>
      <c r="J60">
        <v>-381.38000000000011</v>
      </c>
      <c r="K60" s="1">
        <v>-8.8431635792807803</v>
      </c>
      <c r="L60" t="s">
        <v>55</v>
      </c>
    </row>
    <row r="61" spans="1:12" x14ac:dyDescent="0.3">
      <c r="A61" t="s">
        <v>9</v>
      </c>
      <c r="B61" s="7">
        <v>45658</v>
      </c>
      <c r="C61" t="s">
        <v>24</v>
      </c>
      <c r="D61" t="s">
        <v>28</v>
      </c>
      <c r="E61" t="s">
        <v>38</v>
      </c>
      <c r="F61" t="s">
        <v>41</v>
      </c>
      <c r="G61" t="s">
        <v>51</v>
      </c>
      <c r="H61">
        <v>7713.21</v>
      </c>
      <c r="I61">
        <v>7929.05</v>
      </c>
      <c r="J61">
        <v>215.84000000000015</v>
      </c>
      <c r="K61" s="1">
        <v>2.7983161355648316</v>
      </c>
      <c r="L61" t="s">
        <v>55</v>
      </c>
    </row>
    <row r="62" spans="1:12" x14ac:dyDescent="0.3">
      <c r="A62" t="s">
        <v>9</v>
      </c>
      <c r="B62" s="7">
        <v>45658</v>
      </c>
      <c r="C62" t="s">
        <v>24</v>
      </c>
      <c r="D62" t="s">
        <v>28</v>
      </c>
      <c r="E62" t="s">
        <v>39</v>
      </c>
      <c r="F62" t="s">
        <v>44</v>
      </c>
      <c r="G62" t="s">
        <v>45</v>
      </c>
      <c r="H62">
        <v>8024.02</v>
      </c>
      <c r="I62">
        <v>9193.2000000000007</v>
      </c>
      <c r="J62">
        <v>1169.1800000000003</v>
      </c>
      <c r="K62" s="1">
        <v>14.571000570786216</v>
      </c>
      <c r="L62" t="s">
        <v>55</v>
      </c>
    </row>
    <row r="63" spans="1:12" x14ac:dyDescent="0.3">
      <c r="A63" t="s">
        <v>9</v>
      </c>
      <c r="B63" s="7">
        <v>45658</v>
      </c>
      <c r="C63" t="s">
        <v>24</v>
      </c>
      <c r="D63" t="s">
        <v>28</v>
      </c>
      <c r="E63" t="s">
        <v>39</v>
      </c>
      <c r="F63" t="s">
        <v>41</v>
      </c>
      <c r="G63" t="s">
        <v>46</v>
      </c>
      <c r="H63">
        <v>8467.2199999999993</v>
      </c>
      <c r="I63">
        <v>7504.64</v>
      </c>
      <c r="J63">
        <v>-962.57999999999902</v>
      </c>
      <c r="K63" s="1">
        <v>-11.368312149678395</v>
      </c>
      <c r="L63" t="s">
        <v>55</v>
      </c>
    </row>
    <row r="64" spans="1:12" x14ac:dyDescent="0.3">
      <c r="A64" t="s">
        <v>9</v>
      </c>
      <c r="B64" s="7">
        <v>45658</v>
      </c>
      <c r="C64" t="s">
        <v>24</v>
      </c>
      <c r="D64" t="s">
        <v>28</v>
      </c>
      <c r="E64" t="s">
        <v>39</v>
      </c>
      <c r="F64" t="s">
        <v>44</v>
      </c>
      <c r="G64" t="s">
        <v>47</v>
      </c>
      <c r="H64">
        <v>15961.7</v>
      </c>
      <c r="I64">
        <v>15817.18</v>
      </c>
      <c r="J64">
        <v>-144.52000000000044</v>
      </c>
      <c r="K64" s="1">
        <v>-0.90541734276424457</v>
      </c>
      <c r="L64" t="s">
        <v>55</v>
      </c>
    </row>
    <row r="65" spans="1:12" x14ac:dyDescent="0.3">
      <c r="A65" t="s">
        <v>9</v>
      </c>
      <c r="B65" s="7">
        <v>45658</v>
      </c>
      <c r="C65" t="s">
        <v>24</v>
      </c>
      <c r="D65" t="s">
        <v>28</v>
      </c>
      <c r="E65" t="s">
        <v>39</v>
      </c>
      <c r="F65" t="s">
        <v>44</v>
      </c>
      <c r="G65" t="s">
        <v>48</v>
      </c>
      <c r="H65">
        <v>8685.66</v>
      </c>
      <c r="I65">
        <v>9849.9</v>
      </c>
      <c r="J65">
        <v>1164.2399999999998</v>
      </c>
      <c r="K65" s="1">
        <v>13.40416272338544</v>
      </c>
      <c r="L65" t="s">
        <v>55</v>
      </c>
    </row>
    <row r="66" spans="1:12" x14ac:dyDescent="0.3">
      <c r="A66" t="s">
        <v>9</v>
      </c>
      <c r="B66" s="7">
        <v>45658</v>
      </c>
      <c r="C66" t="s">
        <v>24</v>
      </c>
      <c r="D66" t="s">
        <v>28</v>
      </c>
      <c r="E66" t="s">
        <v>39</v>
      </c>
      <c r="F66" t="s">
        <v>44</v>
      </c>
      <c r="G66" t="s">
        <v>49</v>
      </c>
      <c r="H66">
        <v>2639.6</v>
      </c>
      <c r="I66">
        <v>2688.56</v>
      </c>
      <c r="J66">
        <v>48.960000000000036</v>
      </c>
      <c r="K66" s="1">
        <v>1.8548264888619503</v>
      </c>
      <c r="L66" t="s">
        <v>55</v>
      </c>
    </row>
    <row r="67" spans="1:12" x14ac:dyDescent="0.3">
      <c r="A67" t="s">
        <v>9</v>
      </c>
      <c r="B67" s="7">
        <v>45658</v>
      </c>
      <c r="C67" t="s">
        <v>24</v>
      </c>
      <c r="D67" t="s">
        <v>28</v>
      </c>
      <c r="E67" t="s">
        <v>39</v>
      </c>
      <c r="F67" t="s">
        <v>44</v>
      </c>
      <c r="G67" t="s">
        <v>51</v>
      </c>
      <c r="H67">
        <v>6002.68</v>
      </c>
      <c r="I67">
        <v>5542.25</v>
      </c>
      <c r="J67">
        <v>-460.43000000000029</v>
      </c>
      <c r="K67" s="1">
        <v>-7.6704072181092489</v>
      </c>
      <c r="L67" t="s">
        <v>55</v>
      </c>
    </row>
    <row r="68" spans="1:12" x14ac:dyDescent="0.3">
      <c r="A68" t="s">
        <v>9</v>
      </c>
      <c r="B68" s="7">
        <v>45658</v>
      </c>
      <c r="C68" t="s">
        <v>24</v>
      </c>
      <c r="D68" t="s">
        <v>28</v>
      </c>
      <c r="E68" t="s">
        <v>40</v>
      </c>
      <c r="F68" t="s">
        <v>43</v>
      </c>
      <c r="G68" t="s">
        <v>45</v>
      </c>
      <c r="H68">
        <v>5342.47</v>
      </c>
      <c r="I68">
        <v>5136.32</v>
      </c>
      <c r="J68">
        <v>-206.15000000000055</v>
      </c>
      <c r="K68" s="1">
        <v>-3.8587020610317055</v>
      </c>
      <c r="L68" t="s">
        <v>55</v>
      </c>
    </row>
    <row r="69" spans="1:12" x14ac:dyDescent="0.3">
      <c r="A69" t="s">
        <v>9</v>
      </c>
      <c r="B69" s="7">
        <v>45658</v>
      </c>
      <c r="C69" t="s">
        <v>24</v>
      </c>
      <c r="D69" t="s">
        <v>28</v>
      </c>
      <c r="E69" t="s">
        <v>40</v>
      </c>
      <c r="F69" t="s">
        <v>43</v>
      </c>
      <c r="G69" t="s">
        <v>46</v>
      </c>
      <c r="H69">
        <v>11841.71</v>
      </c>
      <c r="I69">
        <v>11328.46</v>
      </c>
      <c r="J69">
        <v>-513.25</v>
      </c>
      <c r="K69" s="1">
        <v>-4.334255778937333</v>
      </c>
      <c r="L69" t="s">
        <v>55</v>
      </c>
    </row>
    <row r="70" spans="1:12" x14ac:dyDescent="0.3">
      <c r="A70" t="s">
        <v>9</v>
      </c>
      <c r="B70" s="7">
        <v>45658</v>
      </c>
      <c r="C70" t="s">
        <v>24</v>
      </c>
      <c r="D70" t="s">
        <v>28</v>
      </c>
      <c r="E70" t="s">
        <v>40</v>
      </c>
      <c r="F70" t="s">
        <v>43</v>
      </c>
      <c r="G70" t="s">
        <v>47</v>
      </c>
      <c r="H70">
        <v>19102.939999999999</v>
      </c>
      <c r="I70">
        <v>20669.310000000001</v>
      </c>
      <c r="J70">
        <v>1566.3700000000026</v>
      </c>
      <c r="K70" s="1">
        <v>8.1996279106776377</v>
      </c>
      <c r="L70" t="s">
        <v>55</v>
      </c>
    </row>
    <row r="71" spans="1:12" x14ac:dyDescent="0.3">
      <c r="A71" t="s">
        <v>9</v>
      </c>
      <c r="B71" s="7">
        <v>45658</v>
      </c>
      <c r="C71" t="s">
        <v>24</v>
      </c>
      <c r="D71" t="s">
        <v>28</v>
      </c>
      <c r="E71" t="s">
        <v>40</v>
      </c>
      <c r="F71" t="s">
        <v>43</v>
      </c>
      <c r="G71" t="s">
        <v>48</v>
      </c>
      <c r="H71">
        <v>6777.24</v>
      </c>
      <c r="I71">
        <v>7934.04</v>
      </c>
      <c r="J71">
        <v>1156.8000000000002</v>
      </c>
      <c r="K71" s="1">
        <v>17.06889530251253</v>
      </c>
      <c r="L71" t="s">
        <v>55</v>
      </c>
    </row>
    <row r="72" spans="1:12" x14ac:dyDescent="0.3">
      <c r="A72" t="s">
        <v>9</v>
      </c>
      <c r="B72" s="7">
        <v>45658</v>
      </c>
      <c r="C72" t="s">
        <v>24</v>
      </c>
      <c r="D72" t="s">
        <v>28</v>
      </c>
      <c r="E72" t="s">
        <v>40</v>
      </c>
      <c r="F72" t="s">
        <v>43</v>
      </c>
      <c r="G72" t="s">
        <v>49</v>
      </c>
      <c r="H72">
        <v>4646.1400000000003</v>
      </c>
      <c r="I72">
        <v>4335.26</v>
      </c>
      <c r="J72">
        <v>-310.88000000000011</v>
      </c>
      <c r="K72" s="1">
        <v>-6.6911457683152058</v>
      </c>
      <c r="L72" t="s">
        <v>55</v>
      </c>
    </row>
    <row r="73" spans="1:12" x14ac:dyDescent="0.3">
      <c r="A73" t="s">
        <v>9</v>
      </c>
      <c r="B73" s="7">
        <v>45658</v>
      </c>
      <c r="C73" t="s">
        <v>24</v>
      </c>
      <c r="D73" t="s">
        <v>28</v>
      </c>
      <c r="E73" t="s">
        <v>40</v>
      </c>
      <c r="F73" t="s">
        <v>43</v>
      </c>
      <c r="G73" t="s">
        <v>51</v>
      </c>
      <c r="H73">
        <v>6290.09</v>
      </c>
      <c r="I73">
        <v>5971.12</v>
      </c>
      <c r="J73">
        <v>-318.97000000000025</v>
      </c>
      <c r="K73" s="1">
        <v>-5.0709926249068022</v>
      </c>
      <c r="L73" t="s">
        <v>55</v>
      </c>
    </row>
    <row r="74" spans="1:12" x14ac:dyDescent="0.3">
      <c r="A74" t="s">
        <v>10</v>
      </c>
      <c r="B74" s="7">
        <v>45689</v>
      </c>
      <c r="C74" t="s">
        <v>21</v>
      </c>
      <c r="D74" t="s">
        <v>25</v>
      </c>
      <c r="E74" t="s">
        <v>29</v>
      </c>
      <c r="F74" t="s">
        <v>41</v>
      </c>
      <c r="G74" t="s">
        <v>45</v>
      </c>
      <c r="H74">
        <v>5985.88</v>
      </c>
      <c r="I74">
        <v>5160.8599999999997</v>
      </c>
      <c r="J74">
        <v>-825.02000000000044</v>
      </c>
      <c r="K74" s="1">
        <v>-13.782768782534907</v>
      </c>
      <c r="L74" t="s">
        <v>55</v>
      </c>
    </row>
    <row r="75" spans="1:12" x14ac:dyDescent="0.3">
      <c r="A75" t="s">
        <v>10</v>
      </c>
      <c r="B75" s="7">
        <v>45689</v>
      </c>
      <c r="C75" t="s">
        <v>21</v>
      </c>
      <c r="D75" t="s">
        <v>25</v>
      </c>
      <c r="E75" t="s">
        <v>29</v>
      </c>
      <c r="F75" t="s">
        <v>41</v>
      </c>
      <c r="G75" t="s">
        <v>46</v>
      </c>
      <c r="H75">
        <v>10041.65</v>
      </c>
      <c r="I75">
        <v>10201.15</v>
      </c>
      <c r="J75">
        <v>159.5</v>
      </c>
      <c r="K75" s="1">
        <v>1.5883843790612102</v>
      </c>
      <c r="L75" t="s">
        <v>55</v>
      </c>
    </row>
    <row r="76" spans="1:12" x14ac:dyDescent="0.3">
      <c r="A76" t="s">
        <v>10</v>
      </c>
      <c r="B76" s="7">
        <v>45689</v>
      </c>
      <c r="C76" t="s">
        <v>21</v>
      </c>
      <c r="D76" t="s">
        <v>25</v>
      </c>
      <c r="E76" t="s">
        <v>29</v>
      </c>
      <c r="F76" t="s">
        <v>41</v>
      </c>
      <c r="G76" t="s">
        <v>47</v>
      </c>
      <c r="H76">
        <v>14055.97</v>
      </c>
      <c r="I76">
        <v>13240.07</v>
      </c>
      <c r="J76">
        <v>-815.89999999999964</v>
      </c>
      <c r="K76" s="1">
        <v>-5.8046509774850099</v>
      </c>
      <c r="L76" t="s">
        <v>55</v>
      </c>
    </row>
    <row r="77" spans="1:12" x14ac:dyDescent="0.3">
      <c r="A77" t="s">
        <v>10</v>
      </c>
      <c r="B77" s="7">
        <v>45689</v>
      </c>
      <c r="C77" t="s">
        <v>21</v>
      </c>
      <c r="D77" t="s">
        <v>25</v>
      </c>
      <c r="E77" t="s">
        <v>29</v>
      </c>
      <c r="F77" t="s">
        <v>41</v>
      </c>
      <c r="G77" t="s">
        <v>48</v>
      </c>
      <c r="H77">
        <v>9064.7199999999993</v>
      </c>
      <c r="I77">
        <v>8421.6200000000008</v>
      </c>
      <c r="J77">
        <v>-643.09999999999854</v>
      </c>
      <c r="K77" s="1">
        <v>-7.0945379449116857</v>
      </c>
      <c r="L77" t="s">
        <v>55</v>
      </c>
    </row>
    <row r="78" spans="1:12" x14ac:dyDescent="0.3">
      <c r="A78" t="s">
        <v>10</v>
      </c>
      <c r="B78" s="7">
        <v>45689</v>
      </c>
      <c r="C78" t="s">
        <v>21</v>
      </c>
      <c r="D78" t="s">
        <v>25</v>
      </c>
      <c r="E78" t="s">
        <v>29</v>
      </c>
      <c r="F78" t="s">
        <v>41</v>
      </c>
      <c r="G78" t="s">
        <v>49</v>
      </c>
      <c r="H78">
        <v>2929.28</v>
      </c>
      <c r="I78">
        <v>2963.02</v>
      </c>
      <c r="J78">
        <v>33.739999999999782</v>
      </c>
      <c r="K78" s="1">
        <v>1.1518188769936564</v>
      </c>
      <c r="L78" t="s">
        <v>55</v>
      </c>
    </row>
    <row r="79" spans="1:12" x14ac:dyDescent="0.3">
      <c r="A79" t="s">
        <v>10</v>
      </c>
      <c r="B79" s="7">
        <v>45689</v>
      </c>
      <c r="C79" t="s">
        <v>21</v>
      </c>
      <c r="D79" t="s">
        <v>25</v>
      </c>
      <c r="E79" t="s">
        <v>29</v>
      </c>
      <c r="F79" t="s">
        <v>41</v>
      </c>
      <c r="G79" t="s">
        <v>51</v>
      </c>
      <c r="H79">
        <v>8048.34</v>
      </c>
      <c r="I79">
        <v>7483.98</v>
      </c>
      <c r="J79">
        <v>-564.36000000000058</v>
      </c>
      <c r="K79" s="1">
        <v>-7.0121292092530956</v>
      </c>
      <c r="L79" t="s">
        <v>55</v>
      </c>
    </row>
    <row r="80" spans="1:12" x14ac:dyDescent="0.3">
      <c r="A80" t="s">
        <v>10</v>
      </c>
      <c r="B80" s="7">
        <v>45689</v>
      </c>
      <c r="C80" t="s">
        <v>21</v>
      </c>
      <c r="D80" t="s">
        <v>25</v>
      </c>
      <c r="E80" t="s">
        <v>30</v>
      </c>
      <c r="F80" t="s">
        <v>42</v>
      </c>
      <c r="G80" t="s">
        <v>45</v>
      </c>
      <c r="H80">
        <v>7496.33</v>
      </c>
      <c r="I80">
        <v>8255.9699999999993</v>
      </c>
      <c r="J80">
        <v>759.63999999999942</v>
      </c>
      <c r="K80" s="1">
        <v>10.133491988746487</v>
      </c>
      <c r="L80" t="s">
        <v>55</v>
      </c>
    </row>
    <row r="81" spans="1:12" x14ac:dyDescent="0.3">
      <c r="A81" t="s">
        <v>10</v>
      </c>
      <c r="B81" s="7">
        <v>45689</v>
      </c>
      <c r="C81" t="s">
        <v>21</v>
      </c>
      <c r="D81" t="s">
        <v>25</v>
      </c>
      <c r="E81" t="s">
        <v>30</v>
      </c>
      <c r="F81" t="s">
        <v>42</v>
      </c>
      <c r="G81" t="s">
        <v>46</v>
      </c>
      <c r="H81">
        <v>8033.24</v>
      </c>
      <c r="I81">
        <v>8758.74</v>
      </c>
      <c r="J81">
        <v>725.5</v>
      </c>
      <c r="K81" s="1">
        <v>9.0312252590486537</v>
      </c>
      <c r="L81" t="s">
        <v>55</v>
      </c>
    </row>
    <row r="82" spans="1:12" x14ac:dyDescent="0.3">
      <c r="A82" t="s">
        <v>10</v>
      </c>
      <c r="B82" s="7">
        <v>45689</v>
      </c>
      <c r="C82" t="s">
        <v>21</v>
      </c>
      <c r="D82" t="s">
        <v>25</v>
      </c>
      <c r="E82" t="s">
        <v>30</v>
      </c>
      <c r="F82" t="s">
        <v>42</v>
      </c>
      <c r="G82" t="s">
        <v>47</v>
      </c>
      <c r="H82">
        <v>17472.060000000001</v>
      </c>
      <c r="I82">
        <v>18496.98</v>
      </c>
      <c r="J82">
        <v>1024.9199999999983</v>
      </c>
      <c r="K82" s="1">
        <v>5.8660512841645351</v>
      </c>
      <c r="L82" t="s">
        <v>55</v>
      </c>
    </row>
    <row r="83" spans="1:12" x14ac:dyDescent="0.3">
      <c r="A83" t="s">
        <v>10</v>
      </c>
      <c r="B83" s="7">
        <v>45689</v>
      </c>
      <c r="C83" t="s">
        <v>21</v>
      </c>
      <c r="D83" t="s">
        <v>25</v>
      </c>
      <c r="E83" t="s">
        <v>30</v>
      </c>
      <c r="F83" t="s">
        <v>42</v>
      </c>
      <c r="G83" t="s">
        <v>48</v>
      </c>
      <c r="H83">
        <v>7910.82</v>
      </c>
      <c r="I83">
        <v>8122.88</v>
      </c>
      <c r="J83">
        <v>212.0600000000004</v>
      </c>
      <c r="K83" s="1">
        <v>2.6806323491117281</v>
      </c>
      <c r="L83" t="s">
        <v>55</v>
      </c>
    </row>
    <row r="84" spans="1:12" x14ac:dyDescent="0.3">
      <c r="A84" t="s">
        <v>10</v>
      </c>
      <c r="B84" s="7">
        <v>45689</v>
      </c>
      <c r="C84" t="s">
        <v>21</v>
      </c>
      <c r="D84" t="s">
        <v>25</v>
      </c>
      <c r="E84" t="s">
        <v>30</v>
      </c>
      <c r="F84" t="s">
        <v>42</v>
      </c>
      <c r="G84" t="s">
        <v>49</v>
      </c>
      <c r="H84">
        <v>2814.61</v>
      </c>
      <c r="I84">
        <v>3168.26</v>
      </c>
      <c r="J84">
        <v>353.65000000000009</v>
      </c>
      <c r="K84" s="1">
        <v>12.564795833170495</v>
      </c>
      <c r="L84" t="s">
        <v>55</v>
      </c>
    </row>
    <row r="85" spans="1:12" x14ac:dyDescent="0.3">
      <c r="A85" t="s">
        <v>11</v>
      </c>
      <c r="B85" s="7">
        <v>45870</v>
      </c>
      <c r="C85" t="s">
        <v>21</v>
      </c>
      <c r="D85" t="s">
        <v>25</v>
      </c>
      <c r="E85" t="s">
        <v>30</v>
      </c>
      <c r="F85" t="s">
        <v>42</v>
      </c>
      <c r="G85" t="s">
        <v>51</v>
      </c>
      <c r="H85">
        <v>5654.81</v>
      </c>
      <c r="I85">
        <v>5154.6499999999996</v>
      </c>
      <c r="J85">
        <v>-500.16000000000076</v>
      </c>
      <c r="K85" s="1">
        <v>-8.8448595089843991</v>
      </c>
      <c r="L85" t="s">
        <v>55</v>
      </c>
    </row>
    <row r="86" spans="1:12" x14ac:dyDescent="0.3">
      <c r="A86" t="s">
        <v>10</v>
      </c>
      <c r="B86" s="7">
        <v>45689</v>
      </c>
      <c r="C86" t="s">
        <v>21</v>
      </c>
      <c r="D86" t="s">
        <v>25</v>
      </c>
      <c r="E86" t="s">
        <v>31</v>
      </c>
      <c r="F86" t="s">
        <v>43</v>
      </c>
      <c r="G86" t="s">
        <v>45</v>
      </c>
      <c r="H86">
        <v>5034.0200000000004</v>
      </c>
      <c r="I86">
        <v>5260.53</v>
      </c>
      <c r="J86">
        <v>226.50999999999931</v>
      </c>
      <c r="K86" s="1">
        <v>4.499584824851695</v>
      </c>
      <c r="L86" t="s">
        <v>55</v>
      </c>
    </row>
    <row r="87" spans="1:12" x14ac:dyDescent="0.3">
      <c r="A87" t="s">
        <v>10</v>
      </c>
      <c r="B87" s="7">
        <v>45689</v>
      </c>
      <c r="C87" t="s">
        <v>21</v>
      </c>
      <c r="D87" t="s">
        <v>25</v>
      </c>
      <c r="E87" t="s">
        <v>31</v>
      </c>
      <c r="F87" t="s">
        <v>43</v>
      </c>
      <c r="G87" t="s">
        <v>46</v>
      </c>
      <c r="H87">
        <v>10408.85</v>
      </c>
      <c r="I87">
        <v>8904.5</v>
      </c>
      <c r="J87">
        <v>-1504.3500000000004</v>
      </c>
      <c r="K87" s="1">
        <v>-14.452605234968324</v>
      </c>
      <c r="L87" t="s">
        <v>55</v>
      </c>
    </row>
    <row r="88" spans="1:12" x14ac:dyDescent="0.3">
      <c r="A88" t="s">
        <v>10</v>
      </c>
      <c r="B88" s="7">
        <v>45689</v>
      </c>
      <c r="C88" t="s">
        <v>21</v>
      </c>
      <c r="D88" t="s">
        <v>25</v>
      </c>
      <c r="E88" t="s">
        <v>31</v>
      </c>
      <c r="F88" t="s">
        <v>43</v>
      </c>
      <c r="G88" t="s">
        <v>47</v>
      </c>
      <c r="H88">
        <v>19030.61</v>
      </c>
      <c r="I88">
        <v>17598.43</v>
      </c>
      <c r="J88">
        <v>-1432.1800000000003</v>
      </c>
      <c r="K88" s="1">
        <v>-7.5256652309095724</v>
      </c>
      <c r="L88" t="s">
        <v>55</v>
      </c>
    </row>
    <row r="89" spans="1:12" x14ac:dyDescent="0.3">
      <c r="A89" t="s">
        <v>10</v>
      </c>
      <c r="B89" s="7">
        <v>45689</v>
      </c>
      <c r="C89" t="s">
        <v>21</v>
      </c>
      <c r="D89" t="s">
        <v>25</v>
      </c>
      <c r="E89" t="s">
        <v>31</v>
      </c>
      <c r="F89" t="s">
        <v>43</v>
      </c>
      <c r="G89" t="s">
        <v>48</v>
      </c>
      <c r="H89">
        <v>7959.73</v>
      </c>
      <c r="I89">
        <v>7223.78</v>
      </c>
      <c r="J89">
        <v>-735.94999999999982</v>
      </c>
      <c r="K89" s="1">
        <v>-9.2459166328506104</v>
      </c>
      <c r="L89" t="s">
        <v>55</v>
      </c>
    </row>
    <row r="90" spans="1:12" x14ac:dyDescent="0.3">
      <c r="A90" t="s">
        <v>10</v>
      </c>
      <c r="B90" s="7">
        <v>45689</v>
      </c>
      <c r="C90" t="s">
        <v>21</v>
      </c>
      <c r="D90" t="s">
        <v>25</v>
      </c>
      <c r="E90" t="s">
        <v>31</v>
      </c>
      <c r="F90" t="s">
        <v>43</v>
      </c>
      <c r="G90" t="s">
        <v>49</v>
      </c>
      <c r="H90">
        <v>4075.97</v>
      </c>
      <c r="I90">
        <v>3984.76</v>
      </c>
      <c r="J90">
        <v>-91.209999999999582</v>
      </c>
      <c r="K90" s="1">
        <v>-2.2377495418268434</v>
      </c>
      <c r="L90" t="s">
        <v>55</v>
      </c>
    </row>
    <row r="91" spans="1:12" x14ac:dyDescent="0.3">
      <c r="A91" t="s">
        <v>10</v>
      </c>
      <c r="B91" s="7">
        <v>45689</v>
      </c>
      <c r="C91" t="s">
        <v>21</v>
      </c>
      <c r="D91" t="s">
        <v>25</v>
      </c>
      <c r="E91" t="s">
        <v>31</v>
      </c>
      <c r="F91" t="s">
        <v>43</v>
      </c>
      <c r="G91" t="s">
        <v>51</v>
      </c>
      <c r="H91">
        <v>7872.23</v>
      </c>
      <c r="I91">
        <v>7048.65</v>
      </c>
      <c r="J91">
        <v>-823.57999999999993</v>
      </c>
      <c r="K91" s="1">
        <v>-10.461838640385253</v>
      </c>
      <c r="L91" t="s">
        <v>55</v>
      </c>
    </row>
    <row r="92" spans="1:12" x14ac:dyDescent="0.3">
      <c r="A92" t="s">
        <v>10</v>
      </c>
      <c r="B92" s="7">
        <v>45689</v>
      </c>
      <c r="C92" t="s">
        <v>22</v>
      </c>
      <c r="D92" t="s">
        <v>26</v>
      </c>
      <c r="E92" t="s">
        <v>32</v>
      </c>
      <c r="F92" t="s">
        <v>41</v>
      </c>
      <c r="G92" t="s">
        <v>45</v>
      </c>
      <c r="H92">
        <v>6205.16</v>
      </c>
      <c r="I92">
        <v>5506.74</v>
      </c>
      <c r="J92">
        <v>-698.42000000000007</v>
      </c>
      <c r="K92" s="1">
        <v>-11.255471252957218</v>
      </c>
      <c r="L92" t="s">
        <v>55</v>
      </c>
    </row>
    <row r="93" spans="1:12" x14ac:dyDescent="0.3">
      <c r="A93" t="s">
        <v>10</v>
      </c>
      <c r="B93" s="7">
        <v>45689</v>
      </c>
      <c r="C93" t="s">
        <v>22</v>
      </c>
      <c r="D93" t="s">
        <v>26</v>
      </c>
      <c r="E93" t="s">
        <v>32</v>
      </c>
      <c r="F93" t="s">
        <v>41</v>
      </c>
      <c r="G93" t="s">
        <v>46</v>
      </c>
      <c r="H93">
        <v>11743.35</v>
      </c>
      <c r="I93">
        <v>13381.8</v>
      </c>
      <c r="J93">
        <v>1638.4499999999989</v>
      </c>
      <c r="K93" s="1">
        <v>13.952151643270435</v>
      </c>
      <c r="L93" t="s">
        <v>55</v>
      </c>
    </row>
    <row r="94" spans="1:12" x14ac:dyDescent="0.3">
      <c r="A94" t="s">
        <v>10</v>
      </c>
      <c r="B94" s="7">
        <v>45689</v>
      </c>
      <c r="C94" t="s">
        <v>22</v>
      </c>
      <c r="D94" t="s">
        <v>26</v>
      </c>
      <c r="E94" t="s">
        <v>32</v>
      </c>
      <c r="F94" t="s">
        <v>41</v>
      </c>
      <c r="G94" t="s">
        <v>47</v>
      </c>
      <c r="H94">
        <v>16285.77</v>
      </c>
      <c r="I94">
        <v>17389.86</v>
      </c>
      <c r="J94">
        <v>1104.0900000000001</v>
      </c>
      <c r="K94" s="1">
        <v>6.7794768070530296</v>
      </c>
      <c r="L94" t="s">
        <v>55</v>
      </c>
    </row>
    <row r="95" spans="1:12" x14ac:dyDescent="0.3">
      <c r="A95" t="s">
        <v>10</v>
      </c>
      <c r="B95" s="7">
        <v>45689</v>
      </c>
      <c r="C95" t="s">
        <v>22</v>
      </c>
      <c r="D95" t="s">
        <v>26</v>
      </c>
      <c r="E95" t="s">
        <v>32</v>
      </c>
      <c r="F95" t="s">
        <v>41</v>
      </c>
      <c r="G95" t="s">
        <v>48</v>
      </c>
      <c r="H95">
        <v>8682.33</v>
      </c>
      <c r="I95">
        <v>8970.73</v>
      </c>
      <c r="J95">
        <v>288.39999999999964</v>
      </c>
      <c r="K95" s="1">
        <v>3.3216889936226757</v>
      </c>
      <c r="L95" t="s">
        <v>55</v>
      </c>
    </row>
    <row r="96" spans="1:12" x14ac:dyDescent="0.3">
      <c r="A96" t="s">
        <v>10</v>
      </c>
      <c r="B96" s="7">
        <v>45689</v>
      </c>
      <c r="C96" t="s">
        <v>22</v>
      </c>
      <c r="D96" t="s">
        <v>26</v>
      </c>
      <c r="E96" t="s">
        <v>32</v>
      </c>
      <c r="F96" t="s">
        <v>41</v>
      </c>
      <c r="G96" t="s">
        <v>49</v>
      </c>
      <c r="H96">
        <v>3737.27</v>
      </c>
      <c r="I96">
        <v>3474.95</v>
      </c>
      <c r="J96">
        <v>-262.32000000000016</v>
      </c>
      <c r="K96" s="1">
        <v>-7.0190272578647033</v>
      </c>
      <c r="L96" t="s">
        <v>55</v>
      </c>
    </row>
    <row r="97" spans="1:12" x14ac:dyDescent="0.3">
      <c r="A97" t="s">
        <v>10</v>
      </c>
      <c r="B97" s="7">
        <v>45689</v>
      </c>
      <c r="C97" t="s">
        <v>22</v>
      </c>
      <c r="D97" t="s">
        <v>26</v>
      </c>
      <c r="E97" t="s">
        <v>32</v>
      </c>
      <c r="F97" t="s">
        <v>41</v>
      </c>
      <c r="G97" t="s">
        <v>51</v>
      </c>
      <c r="H97">
        <v>4835.17</v>
      </c>
      <c r="I97">
        <v>5541.5</v>
      </c>
      <c r="J97">
        <v>706.32999999999993</v>
      </c>
      <c r="K97" s="1">
        <v>14.608173032178806</v>
      </c>
      <c r="L97" t="s">
        <v>55</v>
      </c>
    </row>
    <row r="98" spans="1:12" x14ac:dyDescent="0.3">
      <c r="A98" t="s">
        <v>10</v>
      </c>
      <c r="B98" s="7">
        <v>45689</v>
      </c>
      <c r="C98" t="s">
        <v>22</v>
      </c>
      <c r="D98" t="s">
        <v>26</v>
      </c>
      <c r="E98" t="s">
        <v>33</v>
      </c>
      <c r="F98" t="s">
        <v>42</v>
      </c>
      <c r="G98" t="s">
        <v>45</v>
      </c>
      <c r="H98">
        <v>8386.6299999999992</v>
      </c>
      <c r="I98">
        <v>8880.7999999999993</v>
      </c>
      <c r="J98">
        <v>494.17000000000007</v>
      </c>
      <c r="K98" s="1">
        <v>5.8923548552875245</v>
      </c>
      <c r="L98" t="s">
        <v>55</v>
      </c>
    </row>
    <row r="99" spans="1:12" x14ac:dyDescent="0.3">
      <c r="A99" t="s">
        <v>10</v>
      </c>
      <c r="B99" s="7">
        <v>45689</v>
      </c>
      <c r="C99" t="s">
        <v>22</v>
      </c>
      <c r="D99" t="s">
        <v>26</v>
      </c>
      <c r="E99" t="s">
        <v>33</v>
      </c>
      <c r="F99" t="s">
        <v>42</v>
      </c>
      <c r="G99" t="s">
        <v>46</v>
      </c>
      <c r="H99">
        <v>8580.76</v>
      </c>
      <c r="I99">
        <v>8282.49</v>
      </c>
      <c r="J99">
        <v>-298.27000000000044</v>
      </c>
      <c r="K99" s="1">
        <v>-3.476032426032198</v>
      </c>
      <c r="L99" t="s">
        <v>55</v>
      </c>
    </row>
    <row r="100" spans="1:12" x14ac:dyDescent="0.3">
      <c r="A100" t="s">
        <v>10</v>
      </c>
      <c r="B100" s="7">
        <v>45689</v>
      </c>
      <c r="C100" t="s">
        <v>22</v>
      </c>
      <c r="D100" t="s">
        <v>26</v>
      </c>
      <c r="E100" t="s">
        <v>33</v>
      </c>
      <c r="F100" t="s">
        <v>42</v>
      </c>
      <c r="G100" t="s">
        <v>47</v>
      </c>
      <c r="H100">
        <v>21340.32</v>
      </c>
      <c r="I100">
        <v>19633.094400000002</v>
      </c>
      <c r="J100">
        <v>-1707.2255999999979</v>
      </c>
      <c r="K100" s="1">
        <v>-7.9999999999999902</v>
      </c>
      <c r="L100" t="s">
        <v>55</v>
      </c>
    </row>
    <row r="101" spans="1:12" x14ac:dyDescent="0.3">
      <c r="A101" t="s">
        <v>10</v>
      </c>
      <c r="B101" s="7">
        <v>45689</v>
      </c>
      <c r="C101" t="s">
        <v>22</v>
      </c>
      <c r="D101" t="s">
        <v>26</v>
      </c>
      <c r="E101" t="s">
        <v>33</v>
      </c>
      <c r="F101" t="s">
        <v>42</v>
      </c>
      <c r="G101" t="s">
        <v>48</v>
      </c>
      <c r="H101">
        <v>8975.76</v>
      </c>
      <c r="I101">
        <v>9939.39</v>
      </c>
      <c r="J101">
        <v>963.6299999999992</v>
      </c>
      <c r="K101" s="1">
        <v>10.735915398807446</v>
      </c>
      <c r="L101" t="s">
        <v>55</v>
      </c>
    </row>
    <row r="102" spans="1:12" x14ac:dyDescent="0.3">
      <c r="A102" t="s">
        <v>10</v>
      </c>
      <c r="B102" s="7">
        <v>45689</v>
      </c>
      <c r="C102" t="s">
        <v>22</v>
      </c>
      <c r="D102" t="s">
        <v>26</v>
      </c>
      <c r="E102" t="s">
        <v>33</v>
      </c>
      <c r="F102" t="s">
        <v>42</v>
      </c>
      <c r="G102" t="s">
        <v>49</v>
      </c>
      <c r="H102">
        <v>3973.27</v>
      </c>
      <c r="I102">
        <v>3487.6</v>
      </c>
      <c r="J102">
        <v>-485.67000000000007</v>
      </c>
      <c r="K102" s="1">
        <v>-12.223433091634851</v>
      </c>
      <c r="L102" t="s">
        <v>55</v>
      </c>
    </row>
    <row r="103" spans="1:12" x14ac:dyDescent="0.3">
      <c r="A103" t="s">
        <v>10</v>
      </c>
      <c r="B103" s="7">
        <v>45689</v>
      </c>
      <c r="C103" t="s">
        <v>22</v>
      </c>
      <c r="D103" t="s">
        <v>26</v>
      </c>
      <c r="E103" t="s">
        <v>33</v>
      </c>
      <c r="F103" t="s">
        <v>42</v>
      </c>
      <c r="G103" t="s">
        <v>51</v>
      </c>
      <c r="H103">
        <v>5081.8599999999997</v>
      </c>
      <c r="I103">
        <v>5826.47</v>
      </c>
      <c r="J103">
        <v>744.61000000000058</v>
      </c>
      <c r="K103" s="1">
        <v>14.652312342331363</v>
      </c>
      <c r="L103" t="s">
        <v>55</v>
      </c>
    </row>
    <row r="104" spans="1:12" x14ac:dyDescent="0.3">
      <c r="A104" t="s">
        <v>10</v>
      </c>
      <c r="B104" s="7">
        <v>45689</v>
      </c>
      <c r="C104" t="s">
        <v>22</v>
      </c>
      <c r="D104" t="s">
        <v>26</v>
      </c>
      <c r="E104" t="s">
        <v>34</v>
      </c>
      <c r="F104" t="s">
        <v>43</v>
      </c>
      <c r="G104" t="s">
        <v>45</v>
      </c>
      <c r="H104">
        <v>7240.07</v>
      </c>
      <c r="I104">
        <v>6176.04</v>
      </c>
      <c r="J104">
        <v>-1064.0299999999997</v>
      </c>
      <c r="K104" s="1">
        <v>-14.696404869013694</v>
      </c>
      <c r="L104" t="s">
        <v>55</v>
      </c>
    </row>
    <row r="105" spans="1:12" x14ac:dyDescent="0.3">
      <c r="A105" t="s">
        <v>10</v>
      </c>
      <c r="B105" s="7">
        <v>45689</v>
      </c>
      <c r="C105" t="s">
        <v>22</v>
      </c>
      <c r="D105" t="s">
        <v>26</v>
      </c>
      <c r="E105" t="s">
        <v>34</v>
      </c>
      <c r="F105" t="s">
        <v>43</v>
      </c>
      <c r="G105" t="s">
        <v>46</v>
      </c>
      <c r="H105">
        <v>7297.95</v>
      </c>
      <c r="I105">
        <v>7801.18</v>
      </c>
      <c r="J105">
        <v>503.23000000000047</v>
      </c>
      <c r="K105" s="1">
        <v>6.8954980508224972</v>
      </c>
      <c r="L105" t="s">
        <v>55</v>
      </c>
    </row>
    <row r="106" spans="1:12" x14ac:dyDescent="0.3">
      <c r="A106" t="s">
        <v>10</v>
      </c>
      <c r="B106" s="7">
        <v>45689</v>
      </c>
      <c r="C106" t="s">
        <v>22</v>
      </c>
      <c r="D106" t="s">
        <v>26</v>
      </c>
      <c r="E106" t="s">
        <v>34</v>
      </c>
      <c r="F106" t="s">
        <v>43</v>
      </c>
      <c r="G106" t="s">
        <v>47</v>
      </c>
      <c r="H106">
        <v>13554.67</v>
      </c>
      <c r="I106">
        <v>12240.77</v>
      </c>
      <c r="J106">
        <v>-1313.8999999999996</v>
      </c>
      <c r="K106" s="1">
        <v>-9.6933381631570494</v>
      </c>
      <c r="L106" t="s">
        <v>55</v>
      </c>
    </row>
    <row r="107" spans="1:12" x14ac:dyDescent="0.3">
      <c r="A107" t="s">
        <v>10</v>
      </c>
      <c r="B107" s="7">
        <v>45689</v>
      </c>
      <c r="C107" t="s">
        <v>22</v>
      </c>
      <c r="D107" t="s">
        <v>26</v>
      </c>
      <c r="E107" t="s">
        <v>34</v>
      </c>
      <c r="F107" t="s">
        <v>43</v>
      </c>
      <c r="G107" t="s">
        <v>48</v>
      </c>
      <c r="H107">
        <v>7554.68</v>
      </c>
      <c r="I107">
        <v>8146.41</v>
      </c>
      <c r="J107">
        <v>591.72999999999956</v>
      </c>
      <c r="K107" s="1">
        <v>7.8326282516268</v>
      </c>
      <c r="L107" t="s">
        <v>55</v>
      </c>
    </row>
    <row r="108" spans="1:12" x14ac:dyDescent="0.3">
      <c r="A108" t="s">
        <v>10</v>
      </c>
      <c r="B108" s="7">
        <v>45689</v>
      </c>
      <c r="C108" t="s">
        <v>22</v>
      </c>
      <c r="D108" t="s">
        <v>26</v>
      </c>
      <c r="E108" t="s">
        <v>34</v>
      </c>
      <c r="F108" t="s">
        <v>43</v>
      </c>
      <c r="G108" t="s">
        <v>49</v>
      </c>
      <c r="H108">
        <v>3994.12</v>
      </c>
      <c r="I108">
        <v>3690.6</v>
      </c>
      <c r="J108">
        <v>-303.52</v>
      </c>
      <c r="K108" s="1">
        <v>-7.5991707810481408</v>
      </c>
      <c r="L108" t="s">
        <v>55</v>
      </c>
    </row>
    <row r="109" spans="1:12" x14ac:dyDescent="0.3">
      <c r="A109" t="s">
        <v>10</v>
      </c>
      <c r="B109" s="7">
        <v>45689</v>
      </c>
      <c r="C109" t="s">
        <v>22</v>
      </c>
      <c r="D109" t="s">
        <v>26</v>
      </c>
      <c r="E109" t="s">
        <v>34</v>
      </c>
      <c r="F109" t="s">
        <v>43</v>
      </c>
      <c r="G109" t="s">
        <v>51</v>
      </c>
      <c r="H109">
        <v>7063.85</v>
      </c>
      <c r="I109">
        <v>6557.31</v>
      </c>
      <c r="J109">
        <v>-506.53999999999996</v>
      </c>
      <c r="K109" s="1">
        <v>-7.1708770712854877</v>
      </c>
      <c r="L109" t="s">
        <v>55</v>
      </c>
    </row>
    <row r="110" spans="1:12" x14ac:dyDescent="0.3">
      <c r="A110" t="s">
        <v>10</v>
      </c>
      <c r="B110" s="7">
        <v>45689</v>
      </c>
      <c r="C110" t="s">
        <v>23</v>
      </c>
      <c r="D110" t="s">
        <v>27</v>
      </c>
      <c r="E110" t="s">
        <v>35</v>
      </c>
      <c r="F110" t="s">
        <v>41</v>
      </c>
      <c r="G110" t="s">
        <v>45</v>
      </c>
      <c r="H110">
        <v>6144.06</v>
      </c>
      <c r="I110">
        <v>6735.99</v>
      </c>
      <c r="J110">
        <v>591.92999999999938</v>
      </c>
      <c r="K110" s="1">
        <v>9.6341832599290917</v>
      </c>
      <c r="L110" t="s">
        <v>55</v>
      </c>
    </row>
    <row r="111" spans="1:12" x14ac:dyDescent="0.3">
      <c r="A111" t="s">
        <v>10</v>
      </c>
      <c r="B111" s="7">
        <v>45689</v>
      </c>
      <c r="C111" t="s">
        <v>23</v>
      </c>
      <c r="D111" t="s">
        <v>27</v>
      </c>
      <c r="E111" t="s">
        <v>35</v>
      </c>
      <c r="F111" t="s">
        <v>41</v>
      </c>
      <c r="G111" t="s">
        <v>46</v>
      </c>
      <c r="H111">
        <v>10258.02</v>
      </c>
      <c r="I111">
        <v>11594.06</v>
      </c>
      <c r="J111">
        <v>1336.0399999999991</v>
      </c>
      <c r="K111" s="1">
        <v>13.02434582892214</v>
      </c>
      <c r="L111" t="s">
        <v>55</v>
      </c>
    </row>
    <row r="112" spans="1:12" x14ac:dyDescent="0.3">
      <c r="A112" t="s">
        <v>10</v>
      </c>
      <c r="B112" s="7">
        <v>45689</v>
      </c>
      <c r="C112" t="s">
        <v>23</v>
      </c>
      <c r="D112" t="s">
        <v>27</v>
      </c>
      <c r="E112" t="s">
        <v>35</v>
      </c>
      <c r="F112" t="s">
        <v>41</v>
      </c>
      <c r="G112" t="s">
        <v>47</v>
      </c>
      <c r="H112">
        <v>20602.22</v>
      </c>
      <c r="I112">
        <v>21375.66</v>
      </c>
      <c r="J112">
        <v>773.43999999999869</v>
      </c>
      <c r="K112" s="1">
        <v>3.7541585324299938</v>
      </c>
      <c r="L112" t="s">
        <v>55</v>
      </c>
    </row>
    <row r="113" spans="1:12" x14ac:dyDescent="0.3">
      <c r="A113" t="s">
        <v>10</v>
      </c>
      <c r="B113" s="7">
        <v>45689</v>
      </c>
      <c r="C113" t="s">
        <v>23</v>
      </c>
      <c r="D113" t="s">
        <v>27</v>
      </c>
      <c r="E113" t="s">
        <v>35</v>
      </c>
      <c r="F113" t="s">
        <v>41</v>
      </c>
      <c r="G113" t="s">
        <v>48</v>
      </c>
      <c r="H113">
        <v>5643.43</v>
      </c>
      <c r="I113">
        <v>5481.73</v>
      </c>
      <c r="J113">
        <v>-161.70000000000073</v>
      </c>
      <c r="K113" s="1">
        <v>-2.8652787400570348</v>
      </c>
      <c r="L113" t="s">
        <v>55</v>
      </c>
    </row>
    <row r="114" spans="1:12" x14ac:dyDescent="0.3">
      <c r="A114" t="s">
        <v>10</v>
      </c>
      <c r="B114" s="7">
        <v>45689</v>
      </c>
      <c r="C114" t="s">
        <v>23</v>
      </c>
      <c r="D114" t="s">
        <v>27</v>
      </c>
      <c r="E114" t="s">
        <v>35</v>
      </c>
      <c r="F114" t="s">
        <v>41</v>
      </c>
      <c r="G114" t="s">
        <v>49</v>
      </c>
      <c r="H114">
        <v>3181.92</v>
      </c>
      <c r="I114">
        <v>2960.83</v>
      </c>
      <c r="J114">
        <v>-221.09000000000015</v>
      </c>
      <c r="K114" s="1">
        <v>-6.9483205108865134</v>
      </c>
      <c r="L114" t="s">
        <v>55</v>
      </c>
    </row>
    <row r="115" spans="1:12" x14ac:dyDescent="0.3">
      <c r="A115" t="s">
        <v>10</v>
      </c>
      <c r="B115" s="7">
        <v>45689</v>
      </c>
      <c r="C115" t="s">
        <v>23</v>
      </c>
      <c r="D115" t="s">
        <v>27</v>
      </c>
      <c r="E115" t="s">
        <v>35</v>
      </c>
      <c r="F115" t="s">
        <v>41</v>
      </c>
      <c r="G115" t="s">
        <v>51</v>
      </c>
      <c r="H115">
        <v>8002.84</v>
      </c>
      <c r="I115">
        <v>7840.56</v>
      </c>
      <c r="J115">
        <v>-162.27999999999975</v>
      </c>
      <c r="K115" s="1">
        <v>-2.0277801380509883</v>
      </c>
      <c r="L115" t="s">
        <v>55</v>
      </c>
    </row>
    <row r="116" spans="1:12" x14ac:dyDescent="0.3">
      <c r="A116" t="s">
        <v>10</v>
      </c>
      <c r="B116" s="7">
        <v>45689</v>
      </c>
      <c r="C116" t="s">
        <v>23</v>
      </c>
      <c r="D116" t="s">
        <v>27</v>
      </c>
      <c r="E116" t="s">
        <v>36</v>
      </c>
      <c r="F116" t="s">
        <v>44</v>
      </c>
      <c r="G116" t="s">
        <v>45</v>
      </c>
      <c r="H116">
        <v>8353.98</v>
      </c>
      <c r="I116">
        <v>8840.82</v>
      </c>
      <c r="J116">
        <v>486.84000000000015</v>
      </c>
      <c r="K116" s="1">
        <v>5.8276414355792108</v>
      </c>
      <c r="L116" t="s">
        <v>55</v>
      </c>
    </row>
    <row r="117" spans="1:12" x14ac:dyDescent="0.3">
      <c r="A117" t="s">
        <v>10</v>
      </c>
      <c r="B117" s="7">
        <v>45689</v>
      </c>
      <c r="C117" t="s">
        <v>23</v>
      </c>
      <c r="D117" t="s">
        <v>27</v>
      </c>
      <c r="E117" t="s">
        <v>36</v>
      </c>
      <c r="F117" t="s">
        <v>44</v>
      </c>
      <c r="G117" t="s">
        <v>46</v>
      </c>
      <c r="H117">
        <v>11041.98</v>
      </c>
      <c r="I117">
        <v>11217.22</v>
      </c>
      <c r="J117">
        <v>175.23999999999978</v>
      </c>
      <c r="K117" s="1">
        <v>1.5870342094443188</v>
      </c>
      <c r="L117" t="s">
        <v>55</v>
      </c>
    </row>
    <row r="118" spans="1:12" x14ac:dyDescent="0.3">
      <c r="A118" t="s">
        <v>10</v>
      </c>
      <c r="B118" s="7">
        <v>45689</v>
      </c>
      <c r="C118" t="s">
        <v>23</v>
      </c>
      <c r="D118" t="s">
        <v>27</v>
      </c>
      <c r="E118" t="s">
        <v>36</v>
      </c>
      <c r="F118" t="s">
        <v>44</v>
      </c>
      <c r="G118" t="s">
        <v>47</v>
      </c>
      <c r="H118">
        <v>19730.560000000001</v>
      </c>
      <c r="I118">
        <v>19977.8</v>
      </c>
      <c r="J118">
        <v>247.23999999999796</v>
      </c>
      <c r="K118" s="1">
        <v>1.2530815141587361</v>
      </c>
      <c r="L118" t="s">
        <v>55</v>
      </c>
    </row>
    <row r="119" spans="1:12" x14ac:dyDescent="0.3">
      <c r="A119" t="s">
        <v>10</v>
      </c>
      <c r="B119" s="7">
        <v>45689</v>
      </c>
      <c r="C119" t="s">
        <v>23</v>
      </c>
      <c r="D119" t="s">
        <v>27</v>
      </c>
      <c r="E119" t="s">
        <v>36</v>
      </c>
      <c r="F119" t="s">
        <v>44</v>
      </c>
      <c r="G119" t="s">
        <v>48</v>
      </c>
      <c r="H119">
        <v>6070.02</v>
      </c>
      <c r="I119">
        <v>6606.67</v>
      </c>
      <c r="J119">
        <v>536.64999999999964</v>
      </c>
      <c r="K119" s="1">
        <v>8.8409922866810913</v>
      </c>
      <c r="L119" t="s">
        <v>55</v>
      </c>
    </row>
    <row r="120" spans="1:12" x14ac:dyDescent="0.3">
      <c r="A120" t="s">
        <v>10</v>
      </c>
      <c r="B120" s="7">
        <v>45689</v>
      </c>
      <c r="C120" t="s">
        <v>23</v>
      </c>
      <c r="D120" t="s">
        <v>27</v>
      </c>
      <c r="E120" t="s">
        <v>36</v>
      </c>
      <c r="F120" t="s">
        <v>44</v>
      </c>
      <c r="G120" t="s">
        <v>49</v>
      </c>
      <c r="H120">
        <v>3214.62</v>
      </c>
      <c r="I120">
        <v>2758.22</v>
      </c>
      <c r="J120">
        <v>-456.40000000000009</v>
      </c>
      <c r="K120" s="1">
        <v>-14.197634557117174</v>
      </c>
      <c r="L120" t="s">
        <v>55</v>
      </c>
    </row>
    <row r="121" spans="1:12" x14ac:dyDescent="0.3">
      <c r="A121" t="s">
        <v>10</v>
      </c>
      <c r="B121" s="7">
        <v>45689</v>
      </c>
      <c r="C121" t="s">
        <v>23</v>
      </c>
      <c r="D121" t="s">
        <v>27</v>
      </c>
      <c r="E121" t="s">
        <v>36</v>
      </c>
      <c r="F121" t="s">
        <v>44</v>
      </c>
      <c r="G121" t="s">
        <v>51</v>
      </c>
      <c r="H121">
        <v>6823.7</v>
      </c>
      <c r="I121">
        <v>6198.97</v>
      </c>
      <c r="J121">
        <v>-624.72999999999956</v>
      </c>
      <c r="K121" s="1">
        <v>-9.1552969796444685</v>
      </c>
      <c r="L121" t="s">
        <v>55</v>
      </c>
    </row>
    <row r="122" spans="1:12" x14ac:dyDescent="0.3">
      <c r="A122" t="s">
        <v>10</v>
      </c>
      <c r="B122" s="7">
        <v>45689</v>
      </c>
      <c r="C122" t="s">
        <v>23</v>
      </c>
      <c r="D122" t="s">
        <v>27</v>
      </c>
      <c r="E122" t="s">
        <v>37</v>
      </c>
      <c r="F122" t="s">
        <v>43</v>
      </c>
      <c r="G122" t="s">
        <v>45</v>
      </c>
      <c r="H122">
        <v>8542.7900000000009</v>
      </c>
      <c r="I122">
        <v>9950.61</v>
      </c>
      <c r="J122">
        <v>1407.8199999999997</v>
      </c>
      <c r="K122" s="1">
        <v>16.479627849917879</v>
      </c>
      <c r="L122" t="s">
        <v>55</v>
      </c>
    </row>
    <row r="123" spans="1:12" x14ac:dyDescent="0.3">
      <c r="A123" t="s">
        <v>10</v>
      </c>
      <c r="B123" s="7">
        <v>45689</v>
      </c>
      <c r="C123" t="s">
        <v>23</v>
      </c>
      <c r="D123" t="s">
        <v>27</v>
      </c>
      <c r="E123" t="s">
        <v>37</v>
      </c>
      <c r="F123" t="s">
        <v>43</v>
      </c>
      <c r="G123" t="s">
        <v>46</v>
      </c>
      <c r="H123">
        <v>11690.27</v>
      </c>
      <c r="I123">
        <v>11364.72</v>
      </c>
      <c r="J123">
        <v>-325.55000000000109</v>
      </c>
      <c r="K123" s="1">
        <v>-2.7847945342579861</v>
      </c>
      <c r="L123" t="s">
        <v>55</v>
      </c>
    </row>
    <row r="124" spans="1:12" x14ac:dyDescent="0.3">
      <c r="A124" t="s">
        <v>10</v>
      </c>
      <c r="B124" s="7">
        <v>45689</v>
      </c>
      <c r="C124" t="s">
        <v>23</v>
      </c>
      <c r="D124" t="s">
        <v>27</v>
      </c>
      <c r="E124" t="s">
        <v>37</v>
      </c>
      <c r="F124" t="s">
        <v>43</v>
      </c>
      <c r="G124" t="s">
        <v>47</v>
      </c>
      <c r="H124">
        <v>13666.93</v>
      </c>
      <c r="I124">
        <v>15803.69</v>
      </c>
      <c r="J124">
        <v>2136.7600000000002</v>
      </c>
      <c r="K124" s="1">
        <v>15.634528017630881</v>
      </c>
      <c r="L124" t="s">
        <v>55</v>
      </c>
    </row>
    <row r="125" spans="1:12" x14ac:dyDescent="0.3">
      <c r="A125" t="s">
        <v>10</v>
      </c>
      <c r="B125" s="7">
        <v>45689</v>
      </c>
      <c r="C125" t="s">
        <v>23</v>
      </c>
      <c r="D125" t="s">
        <v>27</v>
      </c>
      <c r="E125" t="s">
        <v>37</v>
      </c>
      <c r="F125" t="s">
        <v>43</v>
      </c>
      <c r="G125" t="s">
        <v>48</v>
      </c>
      <c r="H125">
        <v>7048.37</v>
      </c>
      <c r="I125">
        <v>8239.52</v>
      </c>
      <c r="J125">
        <v>1191.1500000000005</v>
      </c>
      <c r="K125" s="1">
        <v>16.899651976272537</v>
      </c>
      <c r="L125" t="s">
        <v>55</v>
      </c>
    </row>
    <row r="126" spans="1:12" x14ac:dyDescent="0.3">
      <c r="A126" t="s">
        <v>10</v>
      </c>
      <c r="B126" s="7">
        <v>45689</v>
      </c>
      <c r="C126" t="s">
        <v>23</v>
      </c>
      <c r="D126" t="s">
        <v>27</v>
      </c>
      <c r="E126" t="s">
        <v>37</v>
      </c>
      <c r="F126" t="s">
        <v>43</v>
      </c>
      <c r="G126" t="s">
        <v>49</v>
      </c>
      <c r="H126">
        <v>4648.6000000000004</v>
      </c>
      <c r="I126">
        <v>5259.86</v>
      </c>
      <c r="J126">
        <v>611.25999999999931</v>
      </c>
      <c r="K126" s="1">
        <v>13.149335283741326</v>
      </c>
      <c r="L126" t="s">
        <v>55</v>
      </c>
    </row>
    <row r="127" spans="1:12" x14ac:dyDescent="0.3">
      <c r="A127" t="s">
        <v>10</v>
      </c>
      <c r="B127" s="7">
        <v>45689</v>
      </c>
      <c r="C127" t="s">
        <v>23</v>
      </c>
      <c r="D127" t="s">
        <v>27</v>
      </c>
      <c r="E127" t="s">
        <v>37</v>
      </c>
      <c r="F127" t="s">
        <v>43</v>
      </c>
      <c r="G127" t="s">
        <v>51</v>
      </c>
      <c r="H127">
        <v>5560.02</v>
      </c>
      <c r="I127">
        <v>5432.59</v>
      </c>
      <c r="J127">
        <v>-127.43000000000029</v>
      </c>
      <c r="K127" s="1">
        <v>-2.2918982305819093</v>
      </c>
      <c r="L127" t="s">
        <v>55</v>
      </c>
    </row>
    <row r="128" spans="1:12" x14ac:dyDescent="0.3">
      <c r="A128" t="s">
        <v>10</v>
      </c>
      <c r="B128" s="7">
        <v>45689</v>
      </c>
      <c r="C128" t="s">
        <v>24</v>
      </c>
      <c r="D128" t="s">
        <v>28</v>
      </c>
      <c r="E128" t="s">
        <v>38</v>
      </c>
      <c r="F128" t="s">
        <v>41</v>
      </c>
      <c r="G128" t="s">
        <v>45</v>
      </c>
      <c r="H128">
        <v>8194.43</v>
      </c>
      <c r="I128">
        <v>7822.28</v>
      </c>
      <c r="J128">
        <v>-372.15000000000055</v>
      </c>
      <c r="K128" s="1">
        <v>-4.5414995307788404</v>
      </c>
      <c r="L128" t="s">
        <v>55</v>
      </c>
    </row>
    <row r="129" spans="1:12" x14ac:dyDescent="0.3">
      <c r="A129" t="s">
        <v>10</v>
      </c>
      <c r="B129" s="7">
        <v>45689</v>
      </c>
      <c r="C129" t="s">
        <v>24</v>
      </c>
      <c r="D129" t="s">
        <v>28</v>
      </c>
      <c r="E129" t="s">
        <v>38</v>
      </c>
      <c r="F129" t="s">
        <v>41</v>
      </c>
      <c r="G129" t="s">
        <v>46</v>
      </c>
      <c r="H129">
        <v>7665.26</v>
      </c>
      <c r="I129">
        <v>7923.92</v>
      </c>
      <c r="J129">
        <v>258.65999999999985</v>
      </c>
      <c r="K129" s="1">
        <v>3.3744452242976739</v>
      </c>
      <c r="L129" t="s">
        <v>55</v>
      </c>
    </row>
    <row r="130" spans="1:12" x14ac:dyDescent="0.3">
      <c r="A130" t="s">
        <v>10</v>
      </c>
      <c r="B130" s="7">
        <v>45689</v>
      </c>
      <c r="C130" t="s">
        <v>24</v>
      </c>
      <c r="D130" t="s">
        <v>28</v>
      </c>
      <c r="E130" t="s">
        <v>38</v>
      </c>
      <c r="F130" t="s">
        <v>41</v>
      </c>
      <c r="G130" t="s">
        <v>47</v>
      </c>
      <c r="H130">
        <v>23610.47</v>
      </c>
      <c r="I130">
        <v>25491.99</v>
      </c>
      <c r="J130">
        <v>1881.5200000000004</v>
      </c>
      <c r="K130" s="1">
        <v>7.969006970212793</v>
      </c>
      <c r="L130" t="s">
        <v>55</v>
      </c>
    </row>
    <row r="131" spans="1:12" x14ac:dyDescent="0.3">
      <c r="A131" t="s">
        <v>10</v>
      </c>
      <c r="B131" s="7">
        <v>45689</v>
      </c>
      <c r="C131" t="s">
        <v>24</v>
      </c>
      <c r="D131" t="s">
        <v>28</v>
      </c>
      <c r="E131" t="s">
        <v>38</v>
      </c>
      <c r="F131" t="s">
        <v>41</v>
      </c>
      <c r="G131" t="s">
        <v>48</v>
      </c>
      <c r="H131">
        <v>7644.26</v>
      </c>
      <c r="I131">
        <v>6742.76</v>
      </c>
      <c r="J131">
        <v>-901.5</v>
      </c>
      <c r="K131" s="1">
        <v>-11.793162451303331</v>
      </c>
      <c r="L131" t="s">
        <v>55</v>
      </c>
    </row>
    <row r="132" spans="1:12" x14ac:dyDescent="0.3">
      <c r="A132" t="s">
        <v>10</v>
      </c>
      <c r="B132" s="7">
        <v>45689</v>
      </c>
      <c r="C132" t="s">
        <v>24</v>
      </c>
      <c r="D132" t="s">
        <v>28</v>
      </c>
      <c r="E132" t="s">
        <v>38</v>
      </c>
      <c r="F132" t="s">
        <v>41</v>
      </c>
      <c r="G132" t="s">
        <v>49</v>
      </c>
      <c r="H132">
        <v>3916.52</v>
      </c>
      <c r="I132">
        <v>4608.63</v>
      </c>
      <c r="J132">
        <v>692.11000000000013</v>
      </c>
      <c r="K132" s="1">
        <v>17.671555360370945</v>
      </c>
      <c r="L132" t="s">
        <v>55</v>
      </c>
    </row>
    <row r="133" spans="1:12" x14ac:dyDescent="0.3">
      <c r="A133" t="s">
        <v>10</v>
      </c>
      <c r="B133" s="7">
        <v>45689</v>
      </c>
      <c r="C133" t="s">
        <v>24</v>
      </c>
      <c r="D133" t="s">
        <v>28</v>
      </c>
      <c r="E133" t="s">
        <v>38</v>
      </c>
      <c r="F133" t="s">
        <v>41</v>
      </c>
      <c r="G133" t="s">
        <v>51</v>
      </c>
      <c r="H133">
        <v>5004.3</v>
      </c>
      <c r="I133">
        <v>5109.6400000000003</v>
      </c>
      <c r="J133">
        <v>105.34000000000015</v>
      </c>
      <c r="K133" s="1">
        <v>2.1049897088503915</v>
      </c>
      <c r="L133" t="s">
        <v>55</v>
      </c>
    </row>
    <row r="134" spans="1:12" x14ac:dyDescent="0.3">
      <c r="A134" t="s">
        <v>10</v>
      </c>
      <c r="B134" s="7">
        <v>45689</v>
      </c>
      <c r="C134" t="s">
        <v>24</v>
      </c>
      <c r="D134" t="s">
        <v>28</v>
      </c>
      <c r="E134" t="s">
        <v>39</v>
      </c>
      <c r="F134" t="s">
        <v>44</v>
      </c>
      <c r="G134" t="s">
        <v>45</v>
      </c>
      <c r="H134">
        <v>8296.75</v>
      </c>
      <c r="I134">
        <v>9080.41</v>
      </c>
      <c r="J134">
        <v>783.65999999999985</v>
      </c>
      <c r="K134" s="1">
        <v>9.4453852412089052</v>
      </c>
      <c r="L134" t="s">
        <v>55</v>
      </c>
    </row>
    <row r="135" spans="1:12" x14ac:dyDescent="0.3">
      <c r="A135" t="s">
        <v>10</v>
      </c>
      <c r="B135" s="7">
        <v>45689</v>
      </c>
      <c r="C135" t="s">
        <v>24</v>
      </c>
      <c r="D135" t="s">
        <v>28</v>
      </c>
      <c r="E135" t="s">
        <v>39</v>
      </c>
      <c r="F135" t="s">
        <v>44</v>
      </c>
      <c r="G135" t="s">
        <v>46</v>
      </c>
      <c r="H135">
        <v>10513.89</v>
      </c>
      <c r="I135">
        <v>11374.13</v>
      </c>
      <c r="J135">
        <v>860.23999999999978</v>
      </c>
      <c r="K135" s="1">
        <v>8.1819383691478595</v>
      </c>
      <c r="L135" t="s">
        <v>55</v>
      </c>
    </row>
    <row r="136" spans="1:12" x14ac:dyDescent="0.3">
      <c r="A136" t="s">
        <v>10</v>
      </c>
      <c r="B136" s="7">
        <v>45689</v>
      </c>
      <c r="C136" t="s">
        <v>24</v>
      </c>
      <c r="D136" t="s">
        <v>28</v>
      </c>
      <c r="E136" t="s">
        <v>39</v>
      </c>
      <c r="F136" t="s">
        <v>44</v>
      </c>
      <c r="G136" t="s">
        <v>47</v>
      </c>
      <c r="H136">
        <v>17382.5</v>
      </c>
      <c r="I136">
        <v>16459.240000000002</v>
      </c>
      <c r="J136">
        <v>-923.2599999999984</v>
      </c>
      <c r="K136" s="1">
        <v>-5.311433913418659</v>
      </c>
      <c r="L136" t="s">
        <v>55</v>
      </c>
    </row>
    <row r="137" spans="1:12" x14ac:dyDescent="0.3">
      <c r="A137" t="s">
        <v>10</v>
      </c>
      <c r="B137" s="7">
        <v>45689</v>
      </c>
      <c r="C137" t="s">
        <v>24</v>
      </c>
      <c r="D137" t="s">
        <v>28</v>
      </c>
      <c r="E137" t="s">
        <v>39</v>
      </c>
      <c r="F137" t="s">
        <v>44</v>
      </c>
      <c r="G137" t="s">
        <v>48</v>
      </c>
      <c r="H137">
        <v>8649.32</v>
      </c>
      <c r="I137">
        <v>9664.2099999999991</v>
      </c>
      <c r="J137">
        <v>1014.8899999999994</v>
      </c>
      <c r="K137" s="1">
        <v>11.733754792284243</v>
      </c>
      <c r="L137" t="s">
        <v>55</v>
      </c>
    </row>
    <row r="138" spans="1:12" x14ac:dyDescent="0.3">
      <c r="A138" t="s">
        <v>10</v>
      </c>
      <c r="B138" s="7">
        <v>45689</v>
      </c>
      <c r="C138" t="s">
        <v>24</v>
      </c>
      <c r="D138" t="s">
        <v>28</v>
      </c>
      <c r="E138" t="s">
        <v>39</v>
      </c>
      <c r="F138" t="s">
        <v>44</v>
      </c>
      <c r="G138" t="s">
        <v>49</v>
      </c>
      <c r="H138">
        <v>4445.8500000000004</v>
      </c>
      <c r="I138">
        <v>5118.82</v>
      </c>
      <c r="J138">
        <v>672.96999999999935</v>
      </c>
      <c r="K138" s="1">
        <v>15.137037911760389</v>
      </c>
      <c r="L138" t="s">
        <v>55</v>
      </c>
    </row>
    <row r="139" spans="1:12" x14ac:dyDescent="0.3">
      <c r="A139" t="s">
        <v>10</v>
      </c>
      <c r="B139" s="7">
        <v>45689</v>
      </c>
      <c r="C139" t="s">
        <v>24</v>
      </c>
      <c r="D139" t="s">
        <v>28</v>
      </c>
      <c r="E139" t="s">
        <v>39</v>
      </c>
      <c r="F139" t="s">
        <v>44</v>
      </c>
      <c r="G139" t="s">
        <v>51</v>
      </c>
      <c r="H139">
        <v>6340.83</v>
      </c>
      <c r="I139">
        <v>6439.12</v>
      </c>
      <c r="J139">
        <v>98.289999999999964</v>
      </c>
      <c r="K139" s="1">
        <v>1.5501125247010243</v>
      </c>
      <c r="L139" t="s">
        <v>55</v>
      </c>
    </row>
    <row r="140" spans="1:12" x14ac:dyDescent="0.3">
      <c r="A140" t="s">
        <v>10</v>
      </c>
      <c r="B140" s="7">
        <v>45689</v>
      </c>
      <c r="C140" t="s">
        <v>24</v>
      </c>
      <c r="D140" t="s">
        <v>28</v>
      </c>
      <c r="E140" t="s">
        <v>40</v>
      </c>
      <c r="F140" t="s">
        <v>43</v>
      </c>
      <c r="G140" t="s">
        <v>45</v>
      </c>
      <c r="H140">
        <v>7988.35</v>
      </c>
      <c r="I140">
        <v>8503.5</v>
      </c>
      <c r="J140">
        <v>515.14999999999964</v>
      </c>
      <c r="K140" s="1">
        <v>6.4487660155100821</v>
      </c>
      <c r="L140" t="s">
        <v>55</v>
      </c>
    </row>
    <row r="141" spans="1:12" x14ac:dyDescent="0.3">
      <c r="A141" t="s">
        <v>10</v>
      </c>
      <c r="B141" s="7">
        <v>45689</v>
      </c>
      <c r="C141" t="s">
        <v>24</v>
      </c>
      <c r="D141" t="s">
        <v>28</v>
      </c>
      <c r="E141" t="s">
        <v>40</v>
      </c>
      <c r="F141" t="s">
        <v>43</v>
      </c>
      <c r="G141" t="s">
        <v>46</v>
      </c>
      <c r="H141">
        <v>10540.62</v>
      </c>
      <c r="I141">
        <v>11727.62</v>
      </c>
      <c r="J141">
        <v>1187</v>
      </c>
      <c r="K141" s="1">
        <v>11.261197159180389</v>
      </c>
      <c r="L141" t="s">
        <v>55</v>
      </c>
    </row>
    <row r="142" spans="1:12" x14ac:dyDescent="0.3">
      <c r="A142" t="s">
        <v>10</v>
      </c>
      <c r="B142" s="7">
        <v>45689</v>
      </c>
      <c r="C142" t="s">
        <v>24</v>
      </c>
      <c r="D142" t="s">
        <v>28</v>
      </c>
      <c r="E142" t="s">
        <v>40</v>
      </c>
      <c r="F142" t="s">
        <v>43</v>
      </c>
      <c r="G142" t="s">
        <v>47</v>
      </c>
      <c r="H142">
        <v>23112.06</v>
      </c>
      <c r="I142">
        <v>22223.13</v>
      </c>
      <c r="J142">
        <v>-888.93000000000029</v>
      </c>
      <c r="K142" s="1">
        <v>-3.8461738157481427</v>
      </c>
      <c r="L142" t="s">
        <v>55</v>
      </c>
    </row>
    <row r="143" spans="1:12" x14ac:dyDescent="0.3">
      <c r="A143" t="s">
        <v>10</v>
      </c>
      <c r="B143" s="7">
        <v>45689</v>
      </c>
      <c r="C143" t="s">
        <v>24</v>
      </c>
      <c r="D143" t="s">
        <v>28</v>
      </c>
      <c r="E143" t="s">
        <v>40</v>
      </c>
      <c r="F143" t="s">
        <v>43</v>
      </c>
      <c r="G143" t="s">
        <v>48</v>
      </c>
      <c r="H143">
        <v>6827.45</v>
      </c>
      <c r="I143">
        <v>6015.08</v>
      </c>
      <c r="J143">
        <v>-812.36999999999989</v>
      </c>
      <c r="K143" s="1">
        <v>-11.898585855626918</v>
      </c>
      <c r="L143" t="s">
        <v>55</v>
      </c>
    </row>
    <row r="144" spans="1:12" x14ac:dyDescent="0.3">
      <c r="A144" t="s">
        <v>10</v>
      </c>
      <c r="B144" s="7">
        <v>45689</v>
      </c>
      <c r="C144" t="s">
        <v>24</v>
      </c>
      <c r="D144" t="s">
        <v>28</v>
      </c>
      <c r="E144" t="s">
        <v>40</v>
      </c>
      <c r="F144" t="s">
        <v>43</v>
      </c>
      <c r="G144" t="s">
        <v>49</v>
      </c>
      <c r="H144">
        <v>3839.39</v>
      </c>
      <c r="I144">
        <v>3309.02</v>
      </c>
      <c r="J144">
        <v>-530.36999999999989</v>
      </c>
      <c r="K144" s="1">
        <v>-13.813913147661475</v>
      </c>
      <c r="L144" t="s">
        <v>55</v>
      </c>
    </row>
    <row r="145" spans="1:12" x14ac:dyDescent="0.3">
      <c r="A145" t="s">
        <v>10</v>
      </c>
      <c r="B145" s="7">
        <v>45689</v>
      </c>
      <c r="C145" t="s">
        <v>24</v>
      </c>
      <c r="D145" t="s">
        <v>28</v>
      </c>
      <c r="E145" t="s">
        <v>40</v>
      </c>
      <c r="F145" t="s">
        <v>43</v>
      </c>
      <c r="G145" t="s">
        <v>51</v>
      </c>
      <c r="H145">
        <v>6176.15</v>
      </c>
      <c r="I145">
        <v>6355.71</v>
      </c>
      <c r="J145">
        <v>179.5600000000004</v>
      </c>
      <c r="K145" s="1">
        <v>2.9073128081410009</v>
      </c>
      <c r="L145" t="s">
        <v>55</v>
      </c>
    </row>
    <row r="146" spans="1:12" x14ac:dyDescent="0.3">
      <c r="A146" t="s">
        <v>12</v>
      </c>
      <c r="B146" s="7">
        <v>45717</v>
      </c>
      <c r="C146" t="s">
        <v>21</v>
      </c>
      <c r="D146" t="s">
        <v>25</v>
      </c>
      <c r="E146" t="s">
        <v>29</v>
      </c>
      <c r="F146" t="s">
        <v>41</v>
      </c>
      <c r="G146" t="s">
        <v>45</v>
      </c>
      <c r="H146">
        <v>5992.51</v>
      </c>
      <c r="I146">
        <v>6262.02</v>
      </c>
      <c r="J146">
        <v>269.51000000000022</v>
      </c>
      <c r="K146" s="1">
        <v>4.4974476471461911</v>
      </c>
      <c r="L146" t="s">
        <v>55</v>
      </c>
    </row>
    <row r="147" spans="1:12" x14ac:dyDescent="0.3">
      <c r="A147" t="s">
        <v>12</v>
      </c>
      <c r="B147" s="7">
        <v>45717</v>
      </c>
      <c r="C147" t="s">
        <v>21</v>
      </c>
      <c r="D147" t="s">
        <v>25</v>
      </c>
      <c r="E147" t="s">
        <v>29</v>
      </c>
      <c r="F147" t="s">
        <v>41</v>
      </c>
      <c r="G147" t="s">
        <v>46</v>
      </c>
      <c r="H147">
        <v>6914.7</v>
      </c>
      <c r="I147">
        <v>5962.72</v>
      </c>
      <c r="J147">
        <v>-951.97999999999956</v>
      </c>
      <c r="K147" s="1">
        <v>-13.767480874079851</v>
      </c>
      <c r="L147" t="s">
        <v>55</v>
      </c>
    </row>
    <row r="148" spans="1:12" x14ac:dyDescent="0.3">
      <c r="A148" t="s">
        <v>12</v>
      </c>
      <c r="B148" s="7">
        <v>45717</v>
      </c>
      <c r="C148" t="s">
        <v>21</v>
      </c>
      <c r="D148" t="s">
        <v>25</v>
      </c>
      <c r="E148" t="s">
        <v>29</v>
      </c>
      <c r="F148" t="s">
        <v>41</v>
      </c>
      <c r="G148" t="s">
        <v>47</v>
      </c>
      <c r="H148">
        <v>22384.09</v>
      </c>
      <c r="I148">
        <v>21687.11</v>
      </c>
      <c r="J148">
        <v>-696.97999999999956</v>
      </c>
      <c r="K148" s="1">
        <v>-3.1137294390792727</v>
      </c>
      <c r="L148" t="s">
        <v>55</v>
      </c>
    </row>
    <row r="149" spans="1:12" x14ac:dyDescent="0.3">
      <c r="A149" t="s">
        <v>12</v>
      </c>
      <c r="B149" s="7">
        <v>45717</v>
      </c>
      <c r="C149" t="s">
        <v>21</v>
      </c>
      <c r="D149" t="s">
        <v>25</v>
      </c>
      <c r="E149" t="s">
        <v>29</v>
      </c>
      <c r="F149" t="s">
        <v>41</v>
      </c>
      <c r="G149" t="s">
        <v>48</v>
      </c>
      <c r="H149">
        <v>5783.65</v>
      </c>
      <c r="I149">
        <v>5912.86</v>
      </c>
      <c r="J149">
        <v>129.21000000000004</v>
      </c>
      <c r="K149" s="1">
        <v>2.2340563484996507</v>
      </c>
      <c r="L149" t="s">
        <v>55</v>
      </c>
    </row>
    <row r="150" spans="1:12" x14ac:dyDescent="0.3">
      <c r="A150" t="s">
        <v>12</v>
      </c>
      <c r="B150" s="7">
        <v>45717</v>
      </c>
      <c r="C150" t="s">
        <v>21</v>
      </c>
      <c r="D150" t="s">
        <v>25</v>
      </c>
      <c r="E150" t="s">
        <v>29</v>
      </c>
      <c r="F150" t="s">
        <v>41</v>
      </c>
      <c r="G150" t="s">
        <v>49</v>
      </c>
      <c r="H150">
        <v>4241.99</v>
      </c>
      <c r="I150">
        <v>3907.81</v>
      </c>
      <c r="J150">
        <v>-334.17999999999984</v>
      </c>
      <c r="K150" s="1">
        <v>-7.8779063599867012</v>
      </c>
      <c r="L150" t="s">
        <v>55</v>
      </c>
    </row>
    <row r="151" spans="1:12" x14ac:dyDescent="0.3">
      <c r="A151" t="s">
        <v>12</v>
      </c>
      <c r="B151" s="7">
        <v>45717</v>
      </c>
      <c r="C151" t="s">
        <v>21</v>
      </c>
      <c r="D151" t="s">
        <v>25</v>
      </c>
      <c r="E151" t="s">
        <v>29</v>
      </c>
      <c r="F151" t="s">
        <v>41</v>
      </c>
      <c r="G151" t="s">
        <v>51</v>
      </c>
      <c r="H151">
        <v>6742.41</v>
      </c>
      <c r="I151">
        <v>5920.94</v>
      </c>
      <c r="J151">
        <v>-821.47000000000025</v>
      </c>
      <c r="K151" s="1">
        <v>-12.183625736198188</v>
      </c>
      <c r="L151" t="s">
        <v>55</v>
      </c>
    </row>
    <row r="152" spans="1:12" x14ac:dyDescent="0.3">
      <c r="A152" t="s">
        <v>12</v>
      </c>
      <c r="B152" s="7">
        <v>45717</v>
      </c>
      <c r="C152" t="s">
        <v>21</v>
      </c>
      <c r="D152" t="s">
        <v>25</v>
      </c>
      <c r="E152" t="s">
        <v>30</v>
      </c>
      <c r="F152" t="s">
        <v>42</v>
      </c>
      <c r="G152" t="s">
        <v>45</v>
      </c>
      <c r="H152">
        <v>5076.5600000000004</v>
      </c>
      <c r="I152">
        <v>5205.2299999999996</v>
      </c>
      <c r="J152">
        <v>128.66999999999916</v>
      </c>
      <c r="K152" s="1">
        <v>2.5345903525221636</v>
      </c>
      <c r="L152" t="s">
        <v>55</v>
      </c>
    </row>
    <row r="153" spans="1:12" x14ac:dyDescent="0.3">
      <c r="A153" t="s">
        <v>12</v>
      </c>
      <c r="B153" s="7">
        <v>45717</v>
      </c>
      <c r="C153" t="s">
        <v>21</v>
      </c>
      <c r="D153" t="s">
        <v>25</v>
      </c>
      <c r="E153" t="s">
        <v>30</v>
      </c>
      <c r="F153" t="s">
        <v>42</v>
      </c>
      <c r="G153" t="s">
        <v>46</v>
      </c>
      <c r="H153">
        <v>9669.43</v>
      </c>
      <c r="I153">
        <v>10253</v>
      </c>
      <c r="J153">
        <v>583.56999999999971</v>
      </c>
      <c r="K153" s="1">
        <v>6.0352057980666878</v>
      </c>
      <c r="L153" t="s">
        <v>55</v>
      </c>
    </row>
    <row r="154" spans="1:12" x14ac:dyDescent="0.3">
      <c r="A154" t="s">
        <v>12</v>
      </c>
      <c r="B154" s="7">
        <v>45717</v>
      </c>
      <c r="C154" t="s">
        <v>21</v>
      </c>
      <c r="D154" t="s">
        <v>25</v>
      </c>
      <c r="E154" t="s">
        <v>30</v>
      </c>
      <c r="F154" t="s">
        <v>42</v>
      </c>
      <c r="G154" t="s">
        <v>47</v>
      </c>
      <c r="H154">
        <v>21341.79</v>
      </c>
      <c r="I154">
        <v>25013.24</v>
      </c>
      <c r="J154">
        <v>3671.4500000000007</v>
      </c>
      <c r="K154" s="1">
        <v>17.203102457666393</v>
      </c>
      <c r="L154" t="s">
        <v>55</v>
      </c>
    </row>
    <row r="155" spans="1:12" x14ac:dyDescent="0.3">
      <c r="A155" t="s">
        <v>12</v>
      </c>
      <c r="B155" s="7">
        <v>45717</v>
      </c>
      <c r="C155" t="s">
        <v>21</v>
      </c>
      <c r="D155" t="s">
        <v>25</v>
      </c>
      <c r="E155" t="s">
        <v>30</v>
      </c>
      <c r="F155" t="s">
        <v>42</v>
      </c>
      <c r="G155" t="s">
        <v>48</v>
      </c>
      <c r="H155">
        <v>7418.46</v>
      </c>
      <c r="I155">
        <v>7096.32</v>
      </c>
      <c r="J155">
        <v>-322.14000000000033</v>
      </c>
      <c r="K155" s="1">
        <v>-4.3424106890109311</v>
      </c>
      <c r="L155" t="s">
        <v>55</v>
      </c>
    </row>
    <row r="156" spans="1:12" x14ac:dyDescent="0.3">
      <c r="A156" t="s">
        <v>12</v>
      </c>
      <c r="B156" s="7">
        <v>45717</v>
      </c>
      <c r="C156" t="s">
        <v>21</v>
      </c>
      <c r="D156" t="s">
        <v>25</v>
      </c>
      <c r="E156" t="s">
        <v>30</v>
      </c>
      <c r="F156" t="s">
        <v>42</v>
      </c>
      <c r="G156" t="s">
        <v>49</v>
      </c>
      <c r="H156">
        <v>4294.8900000000003</v>
      </c>
      <c r="I156">
        <v>4034.51</v>
      </c>
      <c r="J156">
        <v>-260.38000000000011</v>
      </c>
      <c r="K156" s="1">
        <v>-6.0625534064900402</v>
      </c>
      <c r="L156" t="s">
        <v>55</v>
      </c>
    </row>
    <row r="157" spans="1:12" x14ac:dyDescent="0.3">
      <c r="A157" t="s">
        <v>12</v>
      </c>
      <c r="B157" s="7">
        <v>45717</v>
      </c>
      <c r="C157" t="s">
        <v>21</v>
      </c>
      <c r="D157" t="s">
        <v>25</v>
      </c>
      <c r="E157" t="s">
        <v>30</v>
      </c>
      <c r="F157" t="s">
        <v>42</v>
      </c>
      <c r="G157" t="s">
        <v>51</v>
      </c>
      <c r="H157">
        <v>6080.3</v>
      </c>
      <c r="I157">
        <v>5325.68</v>
      </c>
      <c r="J157">
        <v>-754.61999999999989</v>
      </c>
      <c r="K157" s="1">
        <v>-12.410900777922141</v>
      </c>
      <c r="L157" t="s">
        <v>55</v>
      </c>
    </row>
    <row r="158" spans="1:12" x14ac:dyDescent="0.3">
      <c r="A158" t="s">
        <v>12</v>
      </c>
      <c r="B158" s="7">
        <v>45717</v>
      </c>
      <c r="C158" t="s">
        <v>21</v>
      </c>
      <c r="D158" t="s">
        <v>25</v>
      </c>
      <c r="E158" t="s">
        <v>31</v>
      </c>
      <c r="F158" t="s">
        <v>43</v>
      </c>
      <c r="G158" t="s">
        <v>45</v>
      </c>
      <c r="H158">
        <v>4973.87</v>
      </c>
      <c r="I158">
        <v>5807.86</v>
      </c>
      <c r="J158">
        <v>833.98999999999978</v>
      </c>
      <c r="K158" s="1">
        <v>16.767426571261407</v>
      </c>
      <c r="L158" t="s">
        <v>55</v>
      </c>
    </row>
    <row r="159" spans="1:12" x14ac:dyDescent="0.3">
      <c r="A159" t="s">
        <v>12</v>
      </c>
      <c r="B159" s="7">
        <v>45717</v>
      </c>
      <c r="C159" t="s">
        <v>21</v>
      </c>
      <c r="D159" t="s">
        <v>25</v>
      </c>
      <c r="E159" t="s">
        <v>31</v>
      </c>
      <c r="F159" t="s">
        <v>43</v>
      </c>
      <c r="G159" t="s">
        <v>46</v>
      </c>
      <c r="H159">
        <v>11264.29</v>
      </c>
      <c r="I159">
        <v>12161.74</v>
      </c>
      <c r="J159">
        <v>897.44999999999891</v>
      </c>
      <c r="K159" s="1">
        <v>7.9672132020748663</v>
      </c>
      <c r="L159" t="s">
        <v>55</v>
      </c>
    </row>
    <row r="160" spans="1:12" x14ac:dyDescent="0.3">
      <c r="A160" t="s">
        <v>12</v>
      </c>
      <c r="B160" s="7">
        <v>45717</v>
      </c>
      <c r="C160" t="s">
        <v>21</v>
      </c>
      <c r="D160" t="s">
        <v>25</v>
      </c>
      <c r="E160" t="s">
        <v>31</v>
      </c>
      <c r="F160" t="s">
        <v>43</v>
      </c>
      <c r="G160" t="s">
        <v>47</v>
      </c>
      <c r="H160">
        <v>17916.689999999999</v>
      </c>
      <c r="I160">
        <v>16253.79</v>
      </c>
      <c r="J160">
        <v>-1662.8999999999978</v>
      </c>
      <c r="K160" s="1">
        <v>-9.2812902383196789</v>
      </c>
      <c r="L160" t="s">
        <v>55</v>
      </c>
    </row>
    <row r="161" spans="1:12" x14ac:dyDescent="0.3">
      <c r="A161" t="s">
        <v>12</v>
      </c>
      <c r="B161" s="7">
        <v>45717</v>
      </c>
      <c r="C161" t="s">
        <v>21</v>
      </c>
      <c r="D161" t="s">
        <v>25</v>
      </c>
      <c r="E161" t="s">
        <v>31</v>
      </c>
      <c r="F161" t="s">
        <v>43</v>
      </c>
      <c r="G161" t="s">
        <v>48</v>
      </c>
      <c r="H161">
        <v>5907.04</v>
      </c>
      <c r="I161">
        <v>5508.78</v>
      </c>
      <c r="J161">
        <v>-398.26000000000022</v>
      </c>
      <c r="K161" s="1">
        <v>-6.7421246512635813</v>
      </c>
      <c r="L161" t="s">
        <v>55</v>
      </c>
    </row>
    <row r="162" spans="1:12" x14ac:dyDescent="0.3">
      <c r="A162" t="s">
        <v>12</v>
      </c>
      <c r="B162" s="7">
        <v>45717</v>
      </c>
      <c r="C162" t="s">
        <v>21</v>
      </c>
      <c r="D162" t="s">
        <v>25</v>
      </c>
      <c r="E162" t="s">
        <v>31</v>
      </c>
      <c r="F162" t="s">
        <v>43</v>
      </c>
      <c r="G162" t="s">
        <v>49</v>
      </c>
      <c r="H162">
        <v>3778.38</v>
      </c>
      <c r="I162">
        <v>4102.62</v>
      </c>
      <c r="J162">
        <v>324.23999999999978</v>
      </c>
      <c r="K162" s="1">
        <v>8.5814555444396738</v>
      </c>
      <c r="L162" t="s">
        <v>55</v>
      </c>
    </row>
    <row r="163" spans="1:12" x14ac:dyDescent="0.3">
      <c r="A163" t="s">
        <v>12</v>
      </c>
      <c r="B163" s="7">
        <v>45717</v>
      </c>
      <c r="C163" t="s">
        <v>21</v>
      </c>
      <c r="D163" t="s">
        <v>25</v>
      </c>
      <c r="E163" t="s">
        <v>31</v>
      </c>
      <c r="F163" t="s">
        <v>43</v>
      </c>
      <c r="G163" t="s">
        <v>51</v>
      </c>
      <c r="H163">
        <v>6876.71</v>
      </c>
      <c r="I163">
        <v>6480.46</v>
      </c>
      <c r="J163">
        <v>-396.25</v>
      </c>
      <c r="K163" s="1">
        <v>-5.7622031465628183</v>
      </c>
      <c r="L163" t="s">
        <v>55</v>
      </c>
    </row>
    <row r="164" spans="1:12" x14ac:dyDescent="0.3">
      <c r="A164" t="s">
        <v>12</v>
      </c>
      <c r="B164" s="7">
        <v>45717</v>
      </c>
      <c r="C164" t="s">
        <v>22</v>
      </c>
      <c r="D164" t="s">
        <v>26</v>
      </c>
      <c r="E164" t="s">
        <v>32</v>
      </c>
      <c r="F164" t="s">
        <v>41</v>
      </c>
      <c r="G164" t="s">
        <v>45</v>
      </c>
      <c r="H164">
        <v>8598.9699999999993</v>
      </c>
      <c r="I164">
        <v>9403.0300000000007</v>
      </c>
      <c r="J164">
        <v>804.06000000000131</v>
      </c>
      <c r="K164" s="1">
        <v>9.3506547877245918</v>
      </c>
      <c r="L164" t="s">
        <v>55</v>
      </c>
    </row>
    <row r="165" spans="1:12" x14ac:dyDescent="0.3">
      <c r="A165" t="s">
        <v>12</v>
      </c>
      <c r="B165" s="7">
        <v>45717</v>
      </c>
      <c r="C165" t="s">
        <v>22</v>
      </c>
      <c r="D165" t="s">
        <v>26</v>
      </c>
      <c r="E165" t="s">
        <v>32</v>
      </c>
      <c r="F165" t="s">
        <v>41</v>
      </c>
      <c r="G165" t="s">
        <v>46</v>
      </c>
      <c r="H165">
        <v>9743.51</v>
      </c>
      <c r="I165">
        <v>10248.89</v>
      </c>
      <c r="J165">
        <v>505.3799999999992</v>
      </c>
      <c r="K165" s="1">
        <v>5.1868371870096013</v>
      </c>
      <c r="L165" t="s">
        <v>55</v>
      </c>
    </row>
    <row r="166" spans="1:12" x14ac:dyDescent="0.3">
      <c r="A166" t="s">
        <v>12</v>
      </c>
      <c r="B166" s="7">
        <v>45717</v>
      </c>
      <c r="C166" t="s">
        <v>22</v>
      </c>
      <c r="D166" t="s">
        <v>26</v>
      </c>
      <c r="E166" t="s">
        <v>32</v>
      </c>
      <c r="F166" t="s">
        <v>41</v>
      </c>
      <c r="G166" t="s">
        <v>47</v>
      </c>
      <c r="H166">
        <v>18031.68</v>
      </c>
      <c r="I166">
        <v>16801.04</v>
      </c>
      <c r="J166">
        <v>-1230.6399999999994</v>
      </c>
      <c r="K166" s="1">
        <v>-6.824877105183762</v>
      </c>
      <c r="L166" t="s">
        <v>55</v>
      </c>
    </row>
    <row r="167" spans="1:12" x14ac:dyDescent="0.3">
      <c r="A167" t="s">
        <v>12</v>
      </c>
      <c r="B167" s="7">
        <v>45717</v>
      </c>
      <c r="C167" t="s">
        <v>22</v>
      </c>
      <c r="D167" t="s">
        <v>26</v>
      </c>
      <c r="E167" t="s">
        <v>32</v>
      </c>
      <c r="F167" t="s">
        <v>41</v>
      </c>
      <c r="G167" t="s">
        <v>48</v>
      </c>
      <c r="H167">
        <v>6745.09</v>
      </c>
      <c r="I167">
        <v>7420.2</v>
      </c>
      <c r="J167">
        <v>675.10999999999967</v>
      </c>
      <c r="K167" s="1">
        <v>10.008910185038298</v>
      </c>
      <c r="L167" t="s">
        <v>55</v>
      </c>
    </row>
    <row r="168" spans="1:12" x14ac:dyDescent="0.3">
      <c r="A168" t="s">
        <v>12</v>
      </c>
      <c r="B168" s="7">
        <v>45717</v>
      </c>
      <c r="C168" t="s">
        <v>22</v>
      </c>
      <c r="D168" t="s">
        <v>26</v>
      </c>
      <c r="E168" t="s">
        <v>32</v>
      </c>
      <c r="F168" t="s">
        <v>41</v>
      </c>
      <c r="G168" t="s">
        <v>49</v>
      </c>
      <c r="H168">
        <v>2655.23</v>
      </c>
      <c r="I168">
        <v>2358.65</v>
      </c>
      <c r="J168">
        <v>-296.57999999999993</v>
      </c>
      <c r="K168" s="1">
        <v>-11.169653852961888</v>
      </c>
      <c r="L168" t="s">
        <v>55</v>
      </c>
    </row>
    <row r="169" spans="1:12" x14ac:dyDescent="0.3">
      <c r="A169" t="s">
        <v>12</v>
      </c>
      <c r="B169" s="7">
        <v>45717</v>
      </c>
      <c r="C169" t="s">
        <v>22</v>
      </c>
      <c r="D169" t="s">
        <v>26</v>
      </c>
      <c r="E169" t="s">
        <v>32</v>
      </c>
      <c r="F169" t="s">
        <v>41</v>
      </c>
      <c r="G169" t="s">
        <v>51</v>
      </c>
      <c r="H169">
        <v>4665.6099999999997</v>
      </c>
      <c r="I169">
        <v>4028.48</v>
      </c>
      <c r="J169">
        <v>-637.12999999999965</v>
      </c>
      <c r="K169" s="1">
        <v>-13.655877795186475</v>
      </c>
      <c r="L169" t="s">
        <v>55</v>
      </c>
    </row>
    <row r="170" spans="1:12" x14ac:dyDescent="0.3">
      <c r="A170" t="s">
        <v>12</v>
      </c>
      <c r="B170" s="7">
        <v>45717</v>
      </c>
      <c r="C170" t="s">
        <v>22</v>
      </c>
      <c r="D170" t="s">
        <v>26</v>
      </c>
      <c r="E170" t="s">
        <v>33</v>
      </c>
      <c r="F170" t="s">
        <v>42</v>
      </c>
      <c r="G170" t="s">
        <v>45</v>
      </c>
      <c r="H170">
        <v>8211.2999999999993</v>
      </c>
      <c r="I170">
        <v>8886.32</v>
      </c>
      <c r="J170">
        <v>675.02000000000044</v>
      </c>
      <c r="K170" s="1">
        <v>8.2206228002874155</v>
      </c>
      <c r="L170" t="s">
        <v>55</v>
      </c>
    </row>
    <row r="171" spans="1:12" x14ac:dyDescent="0.3">
      <c r="A171" t="s">
        <v>12</v>
      </c>
      <c r="B171" s="7">
        <v>45717</v>
      </c>
      <c r="C171" t="s">
        <v>22</v>
      </c>
      <c r="D171" t="s">
        <v>26</v>
      </c>
      <c r="E171" t="s">
        <v>33</v>
      </c>
      <c r="F171" t="s">
        <v>42</v>
      </c>
      <c r="G171" t="s">
        <v>46</v>
      </c>
      <c r="H171">
        <v>9310.5400000000009</v>
      </c>
      <c r="I171">
        <v>8214.5499999999993</v>
      </c>
      <c r="J171">
        <v>-1095.9900000000016</v>
      </c>
      <c r="K171" s="1">
        <v>-11.771497678974598</v>
      </c>
      <c r="L171" t="s">
        <v>55</v>
      </c>
    </row>
    <row r="172" spans="1:12" x14ac:dyDescent="0.3">
      <c r="A172" t="s">
        <v>12</v>
      </c>
      <c r="B172" s="7">
        <v>45717</v>
      </c>
      <c r="C172" t="s">
        <v>22</v>
      </c>
      <c r="D172" t="s">
        <v>26</v>
      </c>
      <c r="E172" t="s">
        <v>33</v>
      </c>
      <c r="F172" t="s">
        <v>42</v>
      </c>
      <c r="G172" t="s">
        <v>47</v>
      </c>
      <c r="H172">
        <v>18809.45</v>
      </c>
      <c r="I172">
        <v>18926.93</v>
      </c>
      <c r="J172">
        <v>117.47999999999956</v>
      </c>
      <c r="K172" s="1">
        <v>0.62457966607210502</v>
      </c>
      <c r="L172" t="s">
        <v>55</v>
      </c>
    </row>
    <row r="173" spans="1:12" x14ac:dyDescent="0.3">
      <c r="A173" t="s">
        <v>12</v>
      </c>
      <c r="B173" s="7">
        <v>45717</v>
      </c>
      <c r="C173" t="s">
        <v>22</v>
      </c>
      <c r="D173" t="s">
        <v>26</v>
      </c>
      <c r="E173" t="s">
        <v>33</v>
      </c>
      <c r="F173" t="s">
        <v>42</v>
      </c>
      <c r="G173" t="s">
        <v>48</v>
      </c>
      <c r="H173">
        <v>5977.45</v>
      </c>
      <c r="I173">
        <v>5936.63</v>
      </c>
      <c r="J173">
        <v>-40.819999999999709</v>
      </c>
      <c r="K173" s="1">
        <v>-0.68289989878626689</v>
      </c>
      <c r="L173" t="s">
        <v>55</v>
      </c>
    </row>
    <row r="174" spans="1:12" x14ac:dyDescent="0.3">
      <c r="A174" t="s">
        <v>12</v>
      </c>
      <c r="B174" s="7">
        <v>45717</v>
      </c>
      <c r="C174" t="s">
        <v>22</v>
      </c>
      <c r="D174" t="s">
        <v>26</v>
      </c>
      <c r="E174" t="s">
        <v>33</v>
      </c>
      <c r="F174" t="s">
        <v>42</v>
      </c>
      <c r="G174" t="s">
        <v>49</v>
      </c>
      <c r="H174">
        <v>3461.86</v>
      </c>
      <c r="I174">
        <v>3646.14</v>
      </c>
      <c r="J174">
        <v>184.27999999999975</v>
      </c>
      <c r="K174" s="1">
        <v>5.3231499829571307</v>
      </c>
      <c r="L174" t="s">
        <v>55</v>
      </c>
    </row>
    <row r="175" spans="1:12" x14ac:dyDescent="0.3">
      <c r="A175" t="s">
        <v>12</v>
      </c>
      <c r="B175" s="7">
        <v>45717</v>
      </c>
      <c r="C175" t="s">
        <v>22</v>
      </c>
      <c r="D175" t="s">
        <v>26</v>
      </c>
      <c r="E175" t="s">
        <v>33</v>
      </c>
      <c r="F175" t="s">
        <v>42</v>
      </c>
      <c r="G175" t="s">
        <v>51</v>
      </c>
      <c r="H175">
        <v>6786.34</v>
      </c>
      <c r="I175">
        <v>5869.84</v>
      </c>
      <c r="J175">
        <v>-916.5</v>
      </c>
      <c r="K175" s="1">
        <v>-13.505070479816808</v>
      </c>
      <c r="L175" t="s">
        <v>55</v>
      </c>
    </row>
    <row r="176" spans="1:12" x14ac:dyDescent="0.3">
      <c r="A176" t="s">
        <v>12</v>
      </c>
      <c r="B176" s="7">
        <v>45717</v>
      </c>
      <c r="C176" t="s">
        <v>22</v>
      </c>
      <c r="D176" t="s">
        <v>26</v>
      </c>
      <c r="E176" t="s">
        <v>34</v>
      </c>
      <c r="F176" t="s">
        <v>43</v>
      </c>
      <c r="G176" t="s">
        <v>45</v>
      </c>
      <c r="H176">
        <v>6335.99</v>
      </c>
      <c r="I176">
        <v>6694.19</v>
      </c>
      <c r="J176">
        <v>358.19999999999982</v>
      </c>
      <c r="K176" s="1">
        <v>5.6534180136016605</v>
      </c>
      <c r="L176" t="s">
        <v>55</v>
      </c>
    </row>
    <row r="177" spans="1:12" x14ac:dyDescent="0.3">
      <c r="A177" t="s">
        <v>12</v>
      </c>
      <c r="B177" s="7">
        <v>45717</v>
      </c>
      <c r="C177" t="s">
        <v>22</v>
      </c>
      <c r="D177" t="s">
        <v>26</v>
      </c>
      <c r="E177" t="s">
        <v>34</v>
      </c>
      <c r="F177" t="s">
        <v>43</v>
      </c>
      <c r="G177" t="s">
        <v>46</v>
      </c>
      <c r="H177">
        <v>9466.94</v>
      </c>
      <c r="I177">
        <v>10722.65</v>
      </c>
      <c r="J177">
        <v>1255.7099999999991</v>
      </c>
      <c r="K177" s="1">
        <v>13.264159274274464</v>
      </c>
      <c r="L177" t="s">
        <v>55</v>
      </c>
    </row>
    <row r="178" spans="1:12" x14ac:dyDescent="0.3">
      <c r="A178" t="s">
        <v>12</v>
      </c>
      <c r="B178" s="7">
        <v>45717</v>
      </c>
      <c r="C178" t="s">
        <v>22</v>
      </c>
      <c r="D178" t="s">
        <v>26</v>
      </c>
      <c r="E178" t="s">
        <v>34</v>
      </c>
      <c r="F178" t="s">
        <v>43</v>
      </c>
      <c r="G178" t="s">
        <v>47</v>
      </c>
      <c r="H178">
        <v>20613.89</v>
      </c>
      <c r="I178">
        <v>18630.18</v>
      </c>
      <c r="J178">
        <v>-1983.7099999999991</v>
      </c>
      <c r="K178" s="1">
        <v>-9.62317156053515</v>
      </c>
      <c r="L178" t="s">
        <v>55</v>
      </c>
    </row>
    <row r="179" spans="1:12" x14ac:dyDescent="0.3">
      <c r="A179" t="s">
        <v>12</v>
      </c>
      <c r="B179" s="7">
        <v>45717</v>
      </c>
      <c r="C179" t="s">
        <v>22</v>
      </c>
      <c r="D179" t="s">
        <v>26</v>
      </c>
      <c r="E179" t="s">
        <v>34</v>
      </c>
      <c r="F179" t="s">
        <v>43</v>
      </c>
      <c r="G179" t="s">
        <v>48</v>
      </c>
      <c r="H179">
        <v>5546.39</v>
      </c>
      <c r="I179">
        <v>5890.26</v>
      </c>
      <c r="J179">
        <v>343.86999999999989</v>
      </c>
      <c r="K179" s="1">
        <v>6.1998885761729676</v>
      </c>
      <c r="L179" t="s">
        <v>55</v>
      </c>
    </row>
    <row r="180" spans="1:12" x14ac:dyDescent="0.3">
      <c r="A180" t="s">
        <v>12</v>
      </c>
      <c r="B180" s="7">
        <v>45717</v>
      </c>
      <c r="C180" t="s">
        <v>22</v>
      </c>
      <c r="D180" t="s">
        <v>26</v>
      </c>
      <c r="E180" t="s">
        <v>34</v>
      </c>
      <c r="F180" t="s">
        <v>43</v>
      </c>
      <c r="G180" t="s">
        <v>49</v>
      </c>
      <c r="H180">
        <v>2680.67</v>
      </c>
      <c r="I180">
        <v>2796.76</v>
      </c>
      <c r="J180">
        <v>116.09000000000015</v>
      </c>
      <c r="K180" s="1">
        <v>4.3306337594705857</v>
      </c>
      <c r="L180" t="s">
        <v>55</v>
      </c>
    </row>
    <row r="181" spans="1:12" x14ac:dyDescent="0.3">
      <c r="A181" t="s">
        <v>12</v>
      </c>
      <c r="B181" s="7">
        <v>45717</v>
      </c>
      <c r="C181" t="s">
        <v>22</v>
      </c>
      <c r="D181" t="s">
        <v>26</v>
      </c>
      <c r="E181" t="s">
        <v>34</v>
      </c>
      <c r="F181" t="s">
        <v>43</v>
      </c>
      <c r="G181" t="s">
        <v>51</v>
      </c>
      <c r="H181">
        <v>7884.83</v>
      </c>
      <c r="I181">
        <v>8199.48</v>
      </c>
      <c r="J181">
        <v>314.64999999999964</v>
      </c>
      <c r="K181" s="1">
        <v>3.9905743053432938</v>
      </c>
      <c r="L181" t="s">
        <v>55</v>
      </c>
    </row>
    <row r="182" spans="1:12" x14ac:dyDescent="0.3">
      <c r="A182" t="s">
        <v>12</v>
      </c>
      <c r="B182" s="7">
        <v>45717</v>
      </c>
      <c r="C182" t="s">
        <v>23</v>
      </c>
      <c r="D182" t="s">
        <v>27</v>
      </c>
      <c r="E182" t="s">
        <v>35</v>
      </c>
      <c r="F182" t="s">
        <v>41</v>
      </c>
      <c r="G182" t="s">
        <v>45</v>
      </c>
      <c r="H182">
        <v>6388.86</v>
      </c>
      <c r="I182">
        <v>6786.79</v>
      </c>
      <c r="J182">
        <v>397.93000000000029</v>
      </c>
      <c r="K182" s="1">
        <v>6.2284977288593009</v>
      </c>
      <c r="L182" t="s">
        <v>55</v>
      </c>
    </row>
    <row r="183" spans="1:12" x14ac:dyDescent="0.3">
      <c r="A183" t="s">
        <v>12</v>
      </c>
      <c r="B183" s="7">
        <v>45717</v>
      </c>
      <c r="C183" t="s">
        <v>23</v>
      </c>
      <c r="D183" t="s">
        <v>27</v>
      </c>
      <c r="E183" t="s">
        <v>35</v>
      </c>
      <c r="F183" t="s">
        <v>41</v>
      </c>
      <c r="G183" t="s">
        <v>46</v>
      </c>
      <c r="H183">
        <v>9224.57</v>
      </c>
      <c r="I183">
        <v>11807.4496</v>
      </c>
      <c r="J183">
        <v>2582.8796000000002</v>
      </c>
      <c r="K183" s="1">
        <v>28.000000000000004</v>
      </c>
      <c r="L183" t="s">
        <v>55</v>
      </c>
    </row>
    <row r="184" spans="1:12" x14ac:dyDescent="0.3">
      <c r="A184" t="s">
        <v>12</v>
      </c>
      <c r="B184" s="7">
        <v>45717</v>
      </c>
      <c r="C184" t="s">
        <v>23</v>
      </c>
      <c r="D184" t="s">
        <v>27</v>
      </c>
      <c r="E184" t="s">
        <v>35</v>
      </c>
      <c r="F184" t="s">
        <v>41</v>
      </c>
      <c r="G184" t="s">
        <v>47</v>
      </c>
      <c r="H184">
        <v>23667.82</v>
      </c>
      <c r="I184">
        <v>23133.26</v>
      </c>
      <c r="J184">
        <v>-534.56000000000131</v>
      </c>
      <c r="K184" s="1">
        <v>-2.2585941586508658</v>
      </c>
      <c r="L184" t="s">
        <v>55</v>
      </c>
    </row>
    <row r="185" spans="1:12" x14ac:dyDescent="0.3">
      <c r="A185" t="s">
        <v>12</v>
      </c>
      <c r="B185" s="7">
        <v>45717</v>
      </c>
      <c r="C185" t="s">
        <v>23</v>
      </c>
      <c r="D185" t="s">
        <v>27</v>
      </c>
      <c r="E185" t="s">
        <v>35</v>
      </c>
      <c r="F185" t="s">
        <v>41</v>
      </c>
      <c r="G185" t="s">
        <v>48</v>
      </c>
      <c r="H185">
        <v>9287</v>
      </c>
      <c r="I185">
        <v>10668.59</v>
      </c>
      <c r="J185">
        <v>1381.5900000000001</v>
      </c>
      <c r="K185" s="1">
        <v>14.876601701302897</v>
      </c>
      <c r="L185" t="s">
        <v>55</v>
      </c>
    </row>
    <row r="186" spans="1:12" x14ac:dyDescent="0.3">
      <c r="A186" t="s">
        <v>12</v>
      </c>
      <c r="B186" s="7">
        <v>45717</v>
      </c>
      <c r="C186" t="s">
        <v>23</v>
      </c>
      <c r="D186" t="s">
        <v>27</v>
      </c>
      <c r="E186" t="s">
        <v>35</v>
      </c>
      <c r="F186" t="s">
        <v>41</v>
      </c>
      <c r="G186" t="s">
        <v>49</v>
      </c>
      <c r="H186">
        <v>3036.16</v>
      </c>
      <c r="I186">
        <v>2650.23</v>
      </c>
      <c r="J186">
        <v>-385.92999999999984</v>
      </c>
      <c r="K186" s="1">
        <v>-12.711121943507584</v>
      </c>
      <c r="L186" t="s">
        <v>55</v>
      </c>
    </row>
    <row r="187" spans="1:12" x14ac:dyDescent="0.3">
      <c r="A187" t="s">
        <v>12</v>
      </c>
      <c r="B187" s="7">
        <v>45717</v>
      </c>
      <c r="C187" t="s">
        <v>23</v>
      </c>
      <c r="D187" t="s">
        <v>27</v>
      </c>
      <c r="E187" t="s">
        <v>35</v>
      </c>
      <c r="F187" t="s">
        <v>41</v>
      </c>
      <c r="G187" t="s">
        <v>51</v>
      </c>
      <c r="H187">
        <v>4862.8</v>
      </c>
      <c r="I187">
        <v>4162.62</v>
      </c>
      <c r="J187">
        <v>-700.18000000000029</v>
      </c>
      <c r="K187" s="1">
        <v>-14.398700337254262</v>
      </c>
      <c r="L187" t="s">
        <v>55</v>
      </c>
    </row>
    <row r="188" spans="1:12" x14ac:dyDescent="0.3">
      <c r="A188" t="s">
        <v>12</v>
      </c>
      <c r="B188" s="7">
        <v>45717</v>
      </c>
      <c r="C188" t="s">
        <v>23</v>
      </c>
      <c r="D188" t="s">
        <v>27</v>
      </c>
      <c r="E188" t="s">
        <v>36</v>
      </c>
      <c r="F188" t="s">
        <v>44</v>
      </c>
      <c r="G188" t="s">
        <v>45</v>
      </c>
      <c r="H188">
        <v>5243.33</v>
      </c>
      <c r="I188">
        <v>5638.63</v>
      </c>
      <c r="J188">
        <v>395.30000000000018</v>
      </c>
      <c r="K188" s="1">
        <v>7.5391020591875817</v>
      </c>
      <c r="L188" t="s">
        <v>55</v>
      </c>
    </row>
    <row r="189" spans="1:12" x14ac:dyDescent="0.3">
      <c r="A189" t="s">
        <v>12</v>
      </c>
      <c r="B189" s="7">
        <v>45717</v>
      </c>
      <c r="C189" t="s">
        <v>23</v>
      </c>
      <c r="D189" t="s">
        <v>27</v>
      </c>
      <c r="E189" t="s">
        <v>36</v>
      </c>
      <c r="F189" t="s">
        <v>44</v>
      </c>
      <c r="G189" t="s">
        <v>46</v>
      </c>
      <c r="H189">
        <v>7134.42</v>
      </c>
      <c r="I189">
        <v>6815.24</v>
      </c>
      <c r="J189">
        <v>-319.18000000000029</v>
      </c>
      <c r="K189" s="1">
        <v>-4.4738044578255876</v>
      </c>
      <c r="L189" t="s">
        <v>55</v>
      </c>
    </row>
    <row r="190" spans="1:12" x14ac:dyDescent="0.3">
      <c r="A190" t="s">
        <v>12</v>
      </c>
      <c r="B190" s="7">
        <v>45717</v>
      </c>
      <c r="C190" t="s">
        <v>23</v>
      </c>
      <c r="D190" t="s">
        <v>27</v>
      </c>
      <c r="E190" t="s">
        <v>36</v>
      </c>
      <c r="F190" t="s">
        <v>44</v>
      </c>
      <c r="G190" t="s">
        <v>47</v>
      </c>
      <c r="H190">
        <v>22624.65</v>
      </c>
      <c r="I190">
        <v>19404.71</v>
      </c>
      <c r="J190">
        <v>-3219.9400000000023</v>
      </c>
      <c r="K190" s="1">
        <v>-14.231999169047929</v>
      </c>
      <c r="L190" t="s">
        <v>55</v>
      </c>
    </row>
    <row r="191" spans="1:12" x14ac:dyDescent="0.3">
      <c r="A191" t="s">
        <v>12</v>
      </c>
      <c r="B191" s="7">
        <v>45717</v>
      </c>
      <c r="C191" t="s">
        <v>23</v>
      </c>
      <c r="D191" t="s">
        <v>27</v>
      </c>
      <c r="E191" t="s">
        <v>36</v>
      </c>
      <c r="F191" t="s">
        <v>44</v>
      </c>
      <c r="G191" t="s">
        <v>48</v>
      </c>
      <c r="H191">
        <v>8670.77</v>
      </c>
      <c r="I191">
        <v>8176.64</v>
      </c>
      <c r="J191">
        <v>-494.13000000000011</v>
      </c>
      <c r="K191" s="1">
        <v>-5.6988018365150976</v>
      </c>
      <c r="L191" t="s">
        <v>55</v>
      </c>
    </row>
    <row r="192" spans="1:12" x14ac:dyDescent="0.3">
      <c r="A192" t="s">
        <v>12</v>
      </c>
      <c r="B192" s="7">
        <v>45717</v>
      </c>
      <c r="C192" t="s">
        <v>23</v>
      </c>
      <c r="D192" t="s">
        <v>27</v>
      </c>
      <c r="E192" t="s">
        <v>36</v>
      </c>
      <c r="F192" t="s">
        <v>44</v>
      </c>
      <c r="G192" t="s">
        <v>49</v>
      </c>
      <c r="H192">
        <v>2873.15</v>
      </c>
      <c r="I192">
        <v>3102.78</v>
      </c>
      <c r="J192">
        <v>229.63000000000011</v>
      </c>
      <c r="K192" s="1">
        <v>7.9922732888989474</v>
      </c>
      <c r="L192" t="s">
        <v>55</v>
      </c>
    </row>
    <row r="193" spans="1:12" x14ac:dyDescent="0.3">
      <c r="A193" t="s">
        <v>12</v>
      </c>
      <c r="B193" s="7">
        <v>45717</v>
      </c>
      <c r="C193" t="s">
        <v>23</v>
      </c>
      <c r="D193" t="s">
        <v>27</v>
      </c>
      <c r="E193" t="s">
        <v>36</v>
      </c>
      <c r="F193" t="s">
        <v>44</v>
      </c>
      <c r="G193" t="s">
        <v>51</v>
      </c>
      <c r="H193">
        <v>6764.19</v>
      </c>
      <c r="I193">
        <v>7708.24</v>
      </c>
      <c r="J193">
        <v>944.05000000000018</v>
      </c>
      <c r="K193" s="1">
        <v>13.956586080521099</v>
      </c>
      <c r="L193" t="s">
        <v>55</v>
      </c>
    </row>
    <row r="194" spans="1:12" x14ac:dyDescent="0.3">
      <c r="A194" t="s">
        <v>12</v>
      </c>
      <c r="B194" s="7">
        <v>45717</v>
      </c>
      <c r="C194" t="s">
        <v>23</v>
      </c>
      <c r="D194" t="s">
        <v>27</v>
      </c>
      <c r="E194" t="s">
        <v>37</v>
      </c>
      <c r="F194" t="s">
        <v>43</v>
      </c>
      <c r="G194" t="s">
        <v>45</v>
      </c>
      <c r="H194">
        <v>7741.78</v>
      </c>
      <c r="I194">
        <v>8633.23</v>
      </c>
      <c r="J194">
        <v>891.44999999999982</v>
      </c>
      <c r="K194" s="1">
        <v>11.514793755441254</v>
      </c>
      <c r="L194" t="s">
        <v>55</v>
      </c>
    </row>
    <row r="195" spans="1:12" x14ac:dyDescent="0.3">
      <c r="A195" t="s">
        <v>12</v>
      </c>
      <c r="B195" s="7">
        <v>45717</v>
      </c>
      <c r="C195" t="s">
        <v>23</v>
      </c>
      <c r="D195" t="s">
        <v>27</v>
      </c>
      <c r="E195" t="s">
        <v>37</v>
      </c>
      <c r="F195" t="s">
        <v>43</v>
      </c>
      <c r="G195" t="s">
        <v>46</v>
      </c>
      <c r="H195">
        <v>8272.99</v>
      </c>
      <c r="I195">
        <v>7516.46</v>
      </c>
      <c r="J195">
        <v>-756.52999999999975</v>
      </c>
      <c r="K195" s="1">
        <v>-9.144577716158242</v>
      </c>
      <c r="L195" t="s">
        <v>55</v>
      </c>
    </row>
    <row r="196" spans="1:12" x14ac:dyDescent="0.3">
      <c r="A196" t="s">
        <v>12</v>
      </c>
      <c r="B196" s="7">
        <v>45717</v>
      </c>
      <c r="C196" t="s">
        <v>23</v>
      </c>
      <c r="D196" t="s">
        <v>27</v>
      </c>
      <c r="E196" t="s">
        <v>37</v>
      </c>
      <c r="F196" t="s">
        <v>43</v>
      </c>
      <c r="G196" t="s">
        <v>47</v>
      </c>
      <c r="H196">
        <v>21606.639999999999</v>
      </c>
      <c r="I196">
        <v>24118.53</v>
      </c>
      <c r="J196">
        <v>2511.8899999999994</v>
      </c>
      <c r="K196" s="1">
        <v>11.625546591233062</v>
      </c>
      <c r="L196" t="s">
        <v>55</v>
      </c>
    </row>
    <row r="197" spans="1:12" x14ac:dyDescent="0.3">
      <c r="A197" t="s">
        <v>12</v>
      </c>
      <c r="B197" s="7">
        <v>45717</v>
      </c>
      <c r="C197" t="s">
        <v>23</v>
      </c>
      <c r="D197" t="s">
        <v>27</v>
      </c>
      <c r="E197" t="s">
        <v>37</v>
      </c>
      <c r="F197" t="s">
        <v>43</v>
      </c>
      <c r="G197" t="s">
        <v>48</v>
      </c>
      <c r="H197">
        <v>9410.1200000000008</v>
      </c>
      <c r="I197">
        <v>9279.92</v>
      </c>
      <c r="J197">
        <v>-130.20000000000073</v>
      </c>
      <c r="K197" s="1">
        <v>-1.3836167870335416</v>
      </c>
      <c r="L197" t="s">
        <v>55</v>
      </c>
    </row>
    <row r="198" spans="1:12" x14ac:dyDescent="0.3">
      <c r="A198" t="s">
        <v>12</v>
      </c>
      <c r="B198" s="7">
        <v>45717</v>
      </c>
      <c r="C198" t="s">
        <v>23</v>
      </c>
      <c r="D198" t="s">
        <v>27</v>
      </c>
      <c r="E198" t="s">
        <v>37</v>
      </c>
      <c r="F198" t="s">
        <v>43</v>
      </c>
      <c r="G198" t="s">
        <v>49</v>
      </c>
      <c r="H198">
        <v>3406.24</v>
      </c>
      <c r="I198">
        <v>3768.04</v>
      </c>
      <c r="J198">
        <v>361.80000000000018</v>
      </c>
      <c r="K198" s="1">
        <v>10.62168255906807</v>
      </c>
      <c r="L198" t="s">
        <v>55</v>
      </c>
    </row>
    <row r="199" spans="1:12" x14ac:dyDescent="0.3">
      <c r="A199" t="s">
        <v>12</v>
      </c>
      <c r="B199" s="7">
        <v>45717</v>
      </c>
      <c r="C199" t="s">
        <v>23</v>
      </c>
      <c r="D199" t="s">
        <v>27</v>
      </c>
      <c r="E199" t="s">
        <v>37</v>
      </c>
      <c r="F199" t="s">
        <v>43</v>
      </c>
      <c r="G199" t="s">
        <v>51</v>
      </c>
      <c r="H199">
        <v>5726.89</v>
      </c>
      <c r="I199">
        <v>6626.87</v>
      </c>
      <c r="J199">
        <v>899.97999999999956</v>
      </c>
      <c r="K199" s="1">
        <v>15.714986668156705</v>
      </c>
      <c r="L199" t="s">
        <v>55</v>
      </c>
    </row>
    <row r="200" spans="1:12" x14ac:dyDescent="0.3">
      <c r="A200" t="s">
        <v>12</v>
      </c>
      <c r="B200" s="7">
        <v>45717</v>
      </c>
      <c r="C200" t="s">
        <v>24</v>
      </c>
      <c r="D200" t="s">
        <v>28</v>
      </c>
      <c r="E200" t="s">
        <v>38</v>
      </c>
      <c r="F200" t="s">
        <v>41</v>
      </c>
      <c r="G200" t="s">
        <v>45</v>
      </c>
      <c r="H200">
        <v>8222.81</v>
      </c>
      <c r="I200">
        <v>8153.48</v>
      </c>
      <c r="J200">
        <v>-69.329999999999927</v>
      </c>
      <c r="K200" s="1">
        <v>-0.84314242941281536</v>
      </c>
      <c r="L200" t="s">
        <v>55</v>
      </c>
    </row>
    <row r="201" spans="1:12" x14ac:dyDescent="0.3">
      <c r="A201" t="s">
        <v>12</v>
      </c>
      <c r="B201" s="7">
        <v>45717</v>
      </c>
      <c r="C201" t="s">
        <v>24</v>
      </c>
      <c r="D201" t="s">
        <v>28</v>
      </c>
      <c r="E201" t="s">
        <v>38</v>
      </c>
      <c r="F201" t="s">
        <v>41</v>
      </c>
      <c r="G201" t="s">
        <v>46</v>
      </c>
      <c r="H201">
        <v>10804.7</v>
      </c>
      <c r="I201">
        <v>11874.36</v>
      </c>
      <c r="J201">
        <v>1069.6599999999999</v>
      </c>
      <c r="K201" s="1">
        <v>9.8999509472729432</v>
      </c>
      <c r="L201" t="s">
        <v>55</v>
      </c>
    </row>
    <row r="202" spans="1:12" x14ac:dyDescent="0.3">
      <c r="A202" t="s">
        <v>12</v>
      </c>
      <c r="B202" s="7">
        <v>45717</v>
      </c>
      <c r="C202" t="s">
        <v>24</v>
      </c>
      <c r="D202" t="s">
        <v>28</v>
      </c>
      <c r="E202" t="s">
        <v>38</v>
      </c>
      <c r="F202" t="s">
        <v>41</v>
      </c>
      <c r="G202" t="s">
        <v>47</v>
      </c>
      <c r="H202">
        <v>14613.74</v>
      </c>
      <c r="I202">
        <v>16774.27</v>
      </c>
      <c r="J202">
        <v>2160.5300000000007</v>
      </c>
      <c r="K202" s="1">
        <v>14.784237299965653</v>
      </c>
      <c r="L202" t="s">
        <v>55</v>
      </c>
    </row>
    <row r="203" spans="1:12" x14ac:dyDescent="0.3">
      <c r="A203" t="s">
        <v>12</v>
      </c>
      <c r="B203" s="7">
        <v>45717</v>
      </c>
      <c r="C203" t="s">
        <v>24</v>
      </c>
      <c r="D203" t="s">
        <v>28</v>
      </c>
      <c r="E203" t="s">
        <v>38</v>
      </c>
      <c r="F203" t="s">
        <v>41</v>
      </c>
      <c r="G203" t="s">
        <v>48</v>
      </c>
      <c r="H203">
        <v>7372.06</v>
      </c>
      <c r="I203">
        <v>8276.84</v>
      </c>
      <c r="J203">
        <v>904.77999999999975</v>
      </c>
      <c r="K203" s="1">
        <v>12.273095986739117</v>
      </c>
      <c r="L203" t="s">
        <v>55</v>
      </c>
    </row>
    <row r="204" spans="1:12" x14ac:dyDescent="0.3">
      <c r="A204" t="s">
        <v>12</v>
      </c>
      <c r="B204" s="7">
        <v>45717</v>
      </c>
      <c r="C204" t="s">
        <v>24</v>
      </c>
      <c r="D204" t="s">
        <v>28</v>
      </c>
      <c r="E204" t="s">
        <v>38</v>
      </c>
      <c r="F204" t="s">
        <v>41</v>
      </c>
      <c r="G204" t="s">
        <v>49</v>
      </c>
      <c r="H204">
        <v>3297.1</v>
      </c>
      <c r="I204">
        <v>3776.91</v>
      </c>
      <c r="J204">
        <v>479.80999999999995</v>
      </c>
      <c r="K204" s="1">
        <v>14.55248551757605</v>
      </c>
      <c r="L204" t="s">
        <v>55</v>
      </c>
    </row>
    <row r="205" spans="1:12" x14ac:dyDescent="0.3">
      <c r="A205" t="s">
        <v>12</v>
      </c>
      <c r="B205" s="7">
        <v>45717</v>
      </c>
      <c r="C205" t="s">
        <v>24</v>
      </c>
      <c r="D205" t="s">
        <v>28</v>
      </c>
      <c r="E205" t="s">
        <v>38</v>
      </c>
      <c r="F205" t="s">
        <v>41</v>
      </c>
      <c r="G205" t="s">
        <v>51</v>
      </c>
      <c r="H205">
        <v>5901.13</v>
      </c>
      <c r="I205">
        <v>5037.0600000000004</v>
      </c>
      <c r="J205">
        <v>-864.06999999999971</v>
      </c>
      <c r="K205" s="1">
        <v>-14.642449835878885</v>
      </c>
      <c r="L205" t="s">
        <v>55</v>
      </c>
    </row>
    <row r="206" spans="1:12" x14ac:dyDescent="0.3">
      <c r="A206" t="s">
        <v>12</v>
      </c>
      <c r="B206" s="7">
        <v>45717</v>
      </c>
      <c r="C206" t="s">
        <v>24</v>
      </c>
      <c r="D206" t="s">
        <v>28</v>
      </c>
      <c r="E206" t="s">
        <v>39</v>
      </c>
      <c r="F206" t="s">
        <v>44</v>
      </c>
      <c r="G206" t="s">
        <v>45</v>
      </c>
      <c r="H206">
        <v>8405.99</v>
      </c>
      <c r="I206">
        <v>7398.32</v>
      </c>
      <c r="J206">
        <v>-1007.6700000000001</v>
      </c>
      <c r="K206" s="1">
        <v>-11.987523182873167</v>
      </c>
      <c r="L206" t="s">
        <v>55</v>
      </c>
    </row>
    <row r="207" spans="1:12" x14ac:dyDescent="0.3">
      <c r="A207" t="s">
        <v>12</v>
      </c>
      <c r="B207" s="7">
        <v>45717</v>
      </c>
      <c r="C207" t="s">
        <v>24</v>
      </c>
      <c r="D207" t="s">
        <v>28</v>
      </c>
      <c r="E207" t="s">
        <v>39</v>
      </c>
      <c r="F207" t="s">
        <v>44</v>
      </c>
      <c r="G207" t="s">
        <v>46</v>
      </c>
      <c r="H207">
        <v>8474.2900000000009</v>
      </c>
      <c r="I207">
        <v>9860.01</v>
      </c>
      <c r="J207">
        <v>1385.7199999999993</v>
      </c>
      <c r="K207" s="1">
        <v>16.352048372194002</v>
      </c>
      <c r="L207" t="s">
        <v>55</v>
      </c>
    </row>
    <row r="208" spans="1:12" x14ac:dyDescent="0.3">
      <c r="A208" t="s">
        <v>12</v>
      </c>
      <c r="B208" s="7">
        <v>45717</v>
      </c>
      <c r="C208" t="s">
        <v>24</v>
      </c>
      <c r="D208" t="s">
        <v>28</v>
      </c>
      <c r="E208" t="s">
        <v>39</v>
      </c>
      <c r="F208" t="s">
        <v>44</v>
      </c>
      <c r="G208" t="s">
        <v>47</v>
      </c>
      <c r="H208">
        <v>23766.560000000001</v>
      </c>
      <c r="I208">
        <v>24699.03</v>
      </c>
      <c r="J208">
        <v>932.46999999999753</v>
      </c>
      <c r="K208" s="1">
        <v>3.9234537939020098</v>
      </c>
      <c r="L208" t="s">
        <v>55</v>
      </c>
    </row>
    <row r="209" spans="1:12" x14ac:dyDescent="0.3">
      <c r="A209" t="s">
        <v>12</v>
      </c>
      <c r="B209" s="7">
        <v>45717</v>
      </c>
      <c r="C209" t="s">
        <v>24</v>
      </c>
      <c r="D209" t="s">
        <v>28</v>
      </c>
      <c r="E209" t="s">
        <v>39</v>
      </c>
      <c r="F209" t="s">
        <v>44</v>
      </c>
      <c r="G209" t="s">
        <v>48</v>
      </c>
      <c r="H209">
        <v>7903.72</v>
      </c>
      <c r="I209">
        <v>7887.81</v>
      </c>
      <c r="J209">
        <v>-15.909999999999854</v>
      </c>
      <c r="K209" s="1">
        <v>-0.20129761681840769</v>
      </c>
      <c r="L209" t="s">
        <v>55</v>
      </c>
    </row>
    <row r="210" spans="1:12" x14ac:dyDescent="0.3">
      <c r="A210" t="s">
        <v>12</v>
      </c>
      <c r="B210" s="7">
        <v>45717</v>
      </c>
      <c r="C210" t="s">
        <v>24</v>
      </c>
      <c r="D210" t="s">
        <v>28</v>
      </c>
      <c r="E210" t="s">
        <v>39</v>
      </c>
      <c r="F210" t="s">
        <v>44</v>
      </c>
      <c r="G210" t="s">
        <v>49</v>
      </c>
      <c r="H210">
        <v>3240.74</v>
      </c>
      <c r="I210">
        <v>3106.12</v>
      </c>
      <c r="J210">
        <v>-134.61999999999989</v>
      </c>
      <c r="K210" s="1">
        <v>-4.1539895209118871</v>
      </c>
      <c r="L210" t="s">
        <v>55</v>
      </c>
    </row>
    <row r="211" spans="1:12" x14ac:dyDescent="0.3">
      <c r="A211" t="s">
        <v>12</v>
      </c>
      <c r="B211" s="7">
        <v>45717</v>
      </c>
      <c r="C211" t="s">
        <v>24</v>
      </c>
      <c r="D211" t="s">
        <v>28</v>
      </c>
      <c r="E211" t="s">
        <v>39</v>
      </c>
      <c r="F211" t="s">
        <v>44</v>
      </c>
      <c r="G211" t="s">
        <v>51</v>
      </c>
      <c r="H211">
        <v>6921.07</v>
      </c>
      <c r="I211">
        <v>7601.29</v>
      </c>
      <c r="J211">
        <v>680.22000000000025</v>
      </c>
      <c r="K211" s="1">
        <v>9.8282491002113872</v>
      </c>
      <c r="L211" t="s">
        <v>55</v>
      </c>
    </row>
    <row r="212" spans="1:12" x14ac:dyDescent="0.3">
      <c r="A212" t="s">
        <v>12</v>
      </c>
      <c r="B212" s="7">
        <v>45717</v>
      </c>
      <c r="C212" t="s">
        <v>24</v>
      </c>
      <c r="D212" t="s">
        <v>28</v>
      </c>
      <c r="E212" t="s">
        <v>40</v>
      </c>
      <c r="F212" t="s">
        <v>43</v>
      </c>
      <c r="G212" t="s">
        <v>45</v>
      </c>
      <c r="H212">
        <v>7962.16</v>
      </c>
      <c r="I212">
        <v>8842.57</v>
      </c>
      <c r="J212">
        <v>880.40999999999985</v>
      </c>
      <c r="K212" s="1">
        <v>11.057426627950202</v>
      </c>
      <c r="L212" t="s">
        <v>55</v>
      </c>
    </row>
    <row r="213" spans="1:12" x14ac:dyDescent="0.3">
      <c r="A213" t="s">
        <v>12</v>
      </c>
      <c r="B213" s="7">
        <v>45717</v>
      </c>
      <c r="C213" t="s">
        <v>24</v>
      </c>
      <c r="D213" t="s">
        <v>28</v>
      </c>
      <c r="E213" t="s">
        <v>40</v>
      </c>
      <c r="F213" t="s">
        <v>43</v>
      </c>
      <c r="G213" t="s">
        <v>46</v>
      </c>
      <c r="H213">
        <v>7242.51</v>
      </c>
      <c r="I213">
        <v>7337.82</v>
      </c>
      <c r="J213">
        <v>95.309999999999491</v>
      </c>
      <c r="K213" s="1">
        <v>1.3159802333721251</v>
      </c>
      <c r="L213" t="s">
        <v>55</v>
      </c>
    </row>
    <row r="214" spans="1:12" x14ac:dyDescent="0.3">
      <c r="A214" t="s">
        <v>12</v>
      </c>
      <c r="B214" s="7">
        <v>45717</v>
      </c>
      <c r="C214" t="s">
        <v>24</v>
      </c>
      <c r="D214" t="s">
        <v>28</v>
      </c>
      <c r="E214" t="s">
        <v>40</v>
      </c>
      <c r="F214" t="s">
        <v>43</v>
      </c>
      <c r="G214" t="s">
        <v>47</v>
      </c>
      <c r="H214">
        <v>14121.63</v>
      </c>
      <c r="I214">
        <v>14564.27</v>
      </c>
      <c r="J214">
        <v>442.64000000000124</v>
      </c>
      <c r="K214" s="1">
        <v>3.1344823508334465</v>
      </c>
      <c r="L214" t="s">
        <v>55</v>
      </c>
    </row>
    <row r="215" spans="1:12" x14ac:dyDescent="0.3">
      <c r="A215" t="s">
        <v>12</v>
      </c>
      <c r="B215" s="7">
        <v>45717</v>
      </c>
      <c r="C215" t="s">
        <v>24</v>
      </c>
      <c r="D215" t="s">
        <v>28</v>
      </c>
      <c r="E215" t="s">
        <v>40</v>
      </c>
      <c r="F215" t="s">
        <v>43</v>
      </c>
      <c r="G215" t="s">
        <v>48</v>
      </c>
      <c r="H215">
        <v>7104.43</v>
      </c>
      <c r="I215">
        <v>8119.95</v>
      </c>
      <c r="J215">
        <v>1015.5199999999995</v>
      </c>
      <c r="K215" s="1">
        <v>14.294179828642124</v>
      </c>
      <c r="L215" t="s">
        <v>55</v>
      </c>
    </row>
    <row r="216" spans="1:12" x14ac:dyDescent="0.3">
      <c r="A216" t="s">
        <v>12</v>
      </c>
      <c r="B216" s="7">
        <v>45717</v>
      </c>
      <c r="C216" t="s">
        <v>24</v>
      </c>
      <c r="D216" t="s">
        <v>28</v>
      </c>
      <c r="E216" t="s">
        <v>40</v>
      </c>
      <c r="F216" t="s">
        <v>43</v>
      </c>
      <c r="G216" t="s">
        <v>49</v>
      </c>
      <c r="H216">
        <v>3361.92</v>
      </c>
      <c r="I216">
        <v>2987.51</v>
      </c>
      <c r="J216">
        <v>-374.40999999999985</v>
      </c>
      <c r="K216" s="1">
        <v>-11.136790881401099</v>
      </c>
      <c r="L216" t="s">
        <v>55</v>
      </c>
    </row>
    <row r="217" spans="1:12" x14ac:dyDescent="0.3">
      <c r="A217" t="s">
        <v>12</v>
      </c>
      <c r="B217" s="7">
        <v>45717</v>
      </c>
      <c r="C217" t="s">
        <v>24</v>
      </c>
      <c r="D217" t="s">
        <v>28</v>
      </c>
      <c r="E217" t="s">
        <v>40</v>
      </c>
      <c r="F217" t="s">
        <v>43</v>
      </c>
      <c r="G217" t="s">
        <v>51</v>
      </c>
      <c r="H217">
        <v>5014.7700000000004</v>
      </c>
      <c r="I217">
        <v>5522.76</v>
      </c>
      <c r="J217">
        <v>507.98999999999978</v>
      </c>
      <c r="K217" s="1">
        <v>10.129876345276049</v>
      </c>
      <c r="L217" t="s">
        <v>55</v>
      </c>
    </row>
    <row r="218" spans="1:12" x14ac:dyDescent="0.3">
      <c r="A218" t="s">
        <v>13</v>
      </c>
      <c r="B218" s="7">
        <v>45748</v>
      </c>
      <c r="C218" t="s">
        <v>21</v>
      </c>
      <c r="D218" t="s">
        <v>25</v>
      </c>
      <c r="E218" t="s">
        <v>29</v>
      </c>
      <c r="F218" t="s">
        <v>41</v>
      </c>
      <c r="G218" t="s">
        <v>45</v>
      </c>
      <c r="H218">
        <v>7286.05</v>
      </c>
      <c r="I218">
        <v>6436.28</v>
      </c>
      <c r="J218">
        <v>-849.77000000000044</v>
      </c>
      <c r="K218" s="1">
        <v>-11.662972392448589</v>
      </c>
      <c r="L218" t="s">
        <v>55</v>
      </c>
    </row>
    <row r="219" spans="1:12" x14ac:dyDescent="0.3">
      <c r="A219" t="s">
        <v>13</v>
      </c>
      <c r="B219" s="7">
        <v>45748</v>
      </c>
      <c r="C219" t="s">
        <v>21</v>
      </c>
      <c r="D219" t="s">
        <v>25</v>
      </c>
      <c r="E219" t="s">
        <v>29</v>
      </c>
      <c r="F219" t="s">
        <v>41</v>
      </c>
      <c r="G219" t="s">
        <v>46</v>
      </c>
      <c r="H219">
        <v>7204.18</v>
      </c>
      <c r="I219">
        <v>7790.02</v>
      </c>
      <c r="J219">
        <v>585.84000000000015</v>
      </c>
      <c r="K219" s="1">
        <v>8.131945620459236</v>
      </c>
      <c r="L219" t="s">
        <v>55</v>
      </c>
    </row>
    <row r="220" spans="1:12" x14ac:dyDescent="0.3">
      <c r="A220" t="s">
        <v>13</v>
      </c>
      <c r="B220" s="7">
        <v>45748</v>
      </c>
      <c r="C220" t="s">
        <v>21</v>
      </c>
      <c r="D220" t="s">
        <v>25</v>
      </c>
      <c r="E220" t="s">
        <v>29</v>
      </c>
      <c r="F220" t="s">
        <v>41</v>
      </c>
      <c r="G220" t="s">
        <v>47</v>
      </c>
      <c r="H220">
        <v>14285.84</v>
      </c>
      <c r="I220">
        <v>16017.48</v>
      </c>
      <c r="J220">
        <v>1731.6399999999994</v>
      </c>
      <c r="K220" s="1">
        <v>12.121373331914675</v>
      </c>
      <c r="L220" t="s">
        <v>55</v>
      </c>
    </row>
    <row r="221" spans="1:12" x14ac:dyDescent="0.3">
      <c r="A221" t="s">
        <v>13</v>
      </c>
      <c r="B221" s="7">
        <v>45748</v>
      </c>
      <c r="C221" t="s">
        <v>21</v>
      </c>
      <c r="D221" t="s">
        <v>25</v>
      </c>
      <c r="E221" t="s">
        <v>29</v>
      </c>
      <c r="F221" t="s">
        <v>41</v>
      </c>
      <c r="G221" t="s">
        <v>48</v>
      </c>
      <c r="H221">
        <v>8216.2199999999993</v>
      </c>
      <c r="I221">
        <v>7204.35</v>
      </c>
      <c r="J221">
        <v>-1011.869999999999</v>
      </c>
      <c r="K221" s="1">
        <v>-12.315517354695944</v>
      </c>
      <c r="L221" t="s">
        <v>55</v>
      </c>
    </row>
    <row r="222" spans="1:12" x14ac:dyDescent="0.3">
      <c r="A222" t="s">
        <v>13</v>
      </c>
      <c r="B222" s="7">
        <v>45748</v>
      </c>
      <c r="C222" t="s">
        <v>21</v>
      </c>
      <c r="D222" t="s">
        <v>25</v>
      </c>
      <c r="E222" t="s">
        <v>29</v>
      </c>
      <c r="F222" t="s">
        <v>41</v>
      </c>
      <c r="G222" t="s">
        <v>49</v>
      </c>
      <c r="H222">
        <v>2803.16</v>
      </c>
      <c r="I222">
        <v>3295.37</v>
      </c>
      <c r="J222">
        <v>492.21000000000004</v>
      </c>
      <c r="K222" s="1">
        <v>17.559111859472885</v>
      </c>
      <c r="L222" t="s">
        <v>55</v>
      </c>
    </row>
    <row r="223" spans="1:12" x14ac:dyDescent="0.3">
      <c r="A223" t="s">
        <v>13</v>
      </c>
      <c r="B223" s="7">
        <v>45748</v>
      </c>
      <c r="C223" t="s">
        <v>21</v>
      </c>
      <c r="D223" t="s">
        <v>25</v>
      </c>
      <c r="E223" t="s">
        <v>29</v>
      </c>
      <c r="F223" t="s">
        <v>41</v>
      </c>
      <c r="G223" t="s">
        <v>51</v>
      </c>
      <c r="H223">
        <v>5847.37</v>
      </c>
      <c r="I223">
        <v>5685.47</v>
      </c>
      <c r="J223">
        <v>-161.89999999999964</v>
      </c>
      <c r="K223" s="1">
        <v>-2.7687661290460435</v>
      </c>
      <c r="L223" t="s">
        <v>55</v>
      </c>
    </row>
    <row r="224" spans="1:12" x14ac:dyDescent="0.3">
      <c r="A224" t="s">
        <v>13</v>
      </c>
      <c r="B224" s="7">
        <v>45748</v>
      </c>
      <c r="C224" t="s">
        <v>21</v>
      </c>
      <c r="D224" t="s">
        <v>25</v>
      </c>
      <c r="E224" t="s">
        <v>30</v>
      </c>
      <c r="F224" t="s">
        <v>42</v>
      </c>
      <c r="G224" t="s">
        <v>45</v>
      </c>
      <c r="H224">
        <v>8044.92</v>
      </c>
      <c r="I224">
        <v>9352.9599999999991</v>
      </c>
      <c r="J224">
        <v>1308.0399999999991</v>
      </c>
      <c r="K224" s="1">
        <v>16.259204566359877</v>
      </c>
      <c r="L224" t="s">
        <v>55</v>
      </c>
    </row>
    <row r="225" spans="1:12" x14ac:dyDescent="0.3">
      <c r="A225" t="s">
        <v>13</v>
      </c>
      <c r="B225" s="7">
        <v>45748</v>
      </c>
      <c r="C225" t="s">
        <v>21</v>
      </c>
      <c r="D225" t="s">
        <v>25</v>
      </c>
      <c r="E225" t="s">
        <v>30</v>
      </c>
      <c r="F225" t="s">
        <v>42</v>
      </c>
      <c r="G225" t="s">
        <v>46</v>
      </c>
      <c r="H225">
        <v>12074.41</v>
      </c>
      <c r="I225">
        <v>13265.12</v>
      </c>
      <c r="J225">
        <v>1190.7100000000009</v>
      </c>
      <c r="K225" s="1">
        <v>9.8614342232871088</v>
      </c>
      <c r="L225" t="s">
        <v>55</v>
      </c>
    </row>
    <row r="226" spans="1:12" x14ac:dyDescent="0.3">
      <c r="A226" t="s">
        <v>13</v>
      </c>
      <c r="B226" s="7">
        <v>45748</v>
      </c>
      <c r="C226" t="s">
        <v>21</v>
      </c>
      <c r="D226" t="s">
        <v>25</v>
      </c>
      <c r="E226" t="s">
        <v>30</v>
      </c>
      <c r="F226" t="s">
        <v>42</v>
      </c>
      <c r="G226" t="s">
        <v>47</v>
      </c>
      <c r="H226">
        <v>17563.599999999999</v>
      </c>
      <c r="I226">
        <v>15413.03</v>
      </c>
      <c r="J226">
        <v>-2150.5699999999979</v>
      </c>
      <c r="K226" s="1">
        <v>-12.244471520644959</v>
      </c>
      <c r="L226" t="s">
        <v>55</v>
      </c>
    </row>
    <row r="227" spans="1:12" x14ac:dyDescent="0.3">
      <c r="A227" t="s">
        <v>13</v>
      </c>
      <c r="B227" s="7">
        <v>45748</v>
      </c>
      <c r="C227" t="s">
        <v>21</v>
      </c>
      <c r="D227" t="s">
        <v>25</v>
      </c>
      <c r="E227" t="s">
        <v>30</v>
      </c>
      <c r="F227" t="s">
        <v>42</v>
      </c>
      <c r="G227" t="s">
        <v>48</v>
      </c>
      <c r="H227">
        <v>8514.02</v>
      </c>
      <c r="I227">
        <v>8805.82</v>
      </c>
      <c r="J227">
        <v>291.79999999999927</v>
      </c>
      <c r="K227" s="1">
        <v>3.4272881670468149</v>
      </c>
      <c r="L227" t="s">
        <v>55</v>
      </c>
    </row>
    <row r="228" spans="1:12" x14ac:dyDescent="0.3">
      <c r="A228" t="s">
        <v>13</v>
      </c>
      <c r="B228" s="7">
        <v>45748</v>
      </c>
      <c r="C228" t="s">
        <v>21</v>
      </c>
      <c r="D228" t="s">
        <v>25</v>
      </c>
      <c r="E228" t="s">
        <v>30</v>
      </c>
      <c r="F228" t="s">
        <v>42</v>
      </c>
      <c r="G228" t="s">
        <v>49</v>
      </c>
      <c r="H228">
        <v>3515.87</v>
      </c>
      <c r="I228">
        <v>4040.07</v>
      </c>
      <c r="J228">
        <v>524.20000000000027</v>
      </c>
      <c r="K228" s="1">
        <v>14.909538748588552</v>
      </c>
      <c r="L228" t="s">
        <v>55</v>
      </c>
    </row>
    <row r="229" spans="1:12" x14ac:dyDescent="0.3">
      <c r="A229" t="s">
        <v>13</v>
      </c>
      <c r="B229" s="7">
        <v>45748</v>
      </c>
      <c r="C229" t="s">
        <v>21</v>
      </c>
      <c r="D229" t="s">
        <v>25</v>
      </c>
      <c r="E229" t="s">
        <v>30</v>
      </c>
      <c r="F229" t="s">
        <v>42</v>
      </c>
      <c r="G229" t="s">
        <v>51</v>
      </c>
      <c r="H229">
        <v>4900.3100000000004</v>
      </c>
      <c r="I229">
        <v>4961.8900000000003</v>
      </c>
      <c r="J229">
        <v>61.579999999999927</v>
      </c>
      <c r="K229" s="1">
        <v>1.2566551912021877</v>
      </c>
      <c r="L229" t="s">
        <v>55</v>
      </c>
    </row>
    <row r="230" spans="1:12" x14ac:dyDescent="0.3">
      <c r="A230" t="s">
        <v>13</v>
      </c>
      <c r="B230" s="7">
        <v>45748</v>
      </c>
      <c r="C230" t="s">
        <v>21</v>
      </c>
      <c r="D230" t="s">
        <v>25</v>
      </c>
      <c r="E230" t="s">
        <v>31</v>
      </c>
      <c r="F230" t="s">
        <v>43</v>
      </c>
      <c r="G230" t="s">
        <v>45</v>
      </c>
      <c r="H230">
        <v>4919.28</v>
      </c>
      <c r="I230">
        <v>4942.1899999999996</v>
      </c>
      <c r="J230">
        <v>22.909999999999854</v>
      </c>
      <c r="K230" s="1">
        <v>0.46571856043973625</v>
      </c>
      <c r="L230" t="s">
        <v>55</v>
      </c>
    </row>
    <row r="231" spans="1:12" x14ac:dyDescent="0.3">
      <c r="A231" t="s">
        <v>13</v>
      </c>
      <c r="B231" s="7">
        <v>45748</v>
      </c>
      <c r="C231" t="s">
        <v>21</v>
      </c>
      <c r="D231" t="s">
        <v>25</v>
      </c>
      <c r="E231" t="s">
        <v>31</v>
      </c>
      <c r="F231" t="s">
        <v>43</v>
      </c>
      <c r="G231" t="s">
        <v>46</v>
      </c>
      <c r="H231">
        <v>7054.04</v>
      </c>
      <c r="I231">
        <v>6272.52</v>
      </c>
      <c r="J231">
        <v>-781.51999999999953</v>
      </c>
      <c r="K231" s="1">
        <v>-11.07904123027371</v>
      </c>
      <c r="L231" t="s">
        <v>55</v>
      </c>
    </row>
    <row r="232" spans="1:12" x14ac:dyDescent="0.3">
      <c r="A232" t="s">
        <v>13</v>
      </c>
      <c r="B232" s="7">
        <v>45748</v>
      </c>
      <c r="C232" t="s">
        <v>21</v>
      </c>
      <c r="D232" t="s">
        <v>25</v>
      </c>
      <c r="E232" t="s">
        <v>31</v>
      </c>
      <c r="F232" t="s">
        <v>43</v>
      </c>
      <c r="G232" t="s">
        <v>47</v>
      </c>
      <c r="H232">
        <v>14769.28</v>
      </c>
      <c r="I232">
        <v>15718.05</v>
      </c>
      <c r="J232">
        <v>948.76999999999862</v>
      </c>
      <c r="K232" s="1">
        <v>6.423942128526229</v>
      </c>
      <c r="L232" t="s">
        <v>55</v>
      </c>
    </row>
    <row r="233" spans="1:12" x14ac:dyDescent="0.3">
      <c r="A233" t="s">
        <v>13</v>
      </c>
      <c r="B233" s="7">
        <v>45748</v>
      </c>
      <c r="C233" t="s">
        <v>21</v>
      </c>
      <c r="D233" t="s">
        <v>25</v>
      </c>
      <c r="E233" t="s">
        <v>31</v>
      </c>
      <c r="F233" t="s">
        <v>43</v>
      </c>
      <c r="G233" t="s">
        <v>48</v>
      </c>
      <c r="H233">
        <v>8383.39</v>
      </c>
      <c r="I233">
        <v>8739.7800000000007</v>
      </c>
      <c r="J233">
        <v>356.39000000000124</v>
      </c>
      <c r="K233" s="1">
        <v>4.2511442268581234</v>
      </c>
      <c r="L233" t="s">
        <v>55</v>
      </c>
    </row>
    <row r="234" spans="1:12" x14ac:dyDescent="0.3">
      <c r="A234" t="s">
        <v>13</v>
      </c>
      <c r="B234" s="7">
        <v>45748</v>
      </c>
      <c r="C234" t="s">
        <v>21</v>
      </c>
      <c r="D234" t="s">
        <v>25</v>
      </c>
      <c r="E234" t="s">
        <v>31</v>
      </c>
      <c r="F234" t="s">
        <v>43</v>
      </c>
      <c r="G234" t="s">
        <v>49</v>
      </c>
      <c r="H234">
        <v>4645.5600000000004</v>
      </c>
      <c r="I234">
        <v>4523.42</v>
      </c>
      <c r="J234">
        <v>-122.14000000000033</v>
      </c>
      <c r="K234" s="1">
        <v>-2.6291771067427891</v>
      </c>
      <c r="L234" t="s">
        <v>55</v>
      </c>
    </row>
    <row r="235" spans="1:12" x14ac:dyDescent="0.3">
      <c r="A235" t="s">
        <v>13</v>
      </c>
      <c r="B235" s="7">
        <v>45748</v>
      </c>
      <c r="C235" t="s">
        <v>21</v>
      </c>
      <c r="D235" t="s">
        <v>25</v>
      </c>
      <c r="E235" t="s">
        <v>31</v>
      </c>
      <c r="F235" t="s">
        <v>43</v>
      </c>
      <c r="G235" t="s">
        <v>51</v>
      </c>
      <c r="H235">
        <v>5528.56</v>
      </c>
      <c r="I235">
        <v>6283.97</v>
      </c>
      <c r="J235">
        <v>755.40999999999985</v>
      </c>
      <c r="K235" s="1">
        <v>13.663775015555585</v>
      </c>
      <c r="L235" t="s">
        <v>55</v>
      </c>
    </row>
    <row r="236" spans="1:12" x14ac:dyDescent="0.3">
      <c r="A236" t="s">
        <v>13</v>
      </c>
      <c r="B236" s="7">
        <v>45748</v>
      </c>
      <c r="C236" t="s">
        <v>22</v>
      </c>
      <c r="D236" t="s">
        <v>26</v>
      </c>
      <c r="E236" t="s">
        <v>32</v>
      </c>
      <c r="F236" t="s">
        <v>41</v>
      </c>
      <c r="G236" t="s">
        <v>45</v>
      </c>
      <c r="H236">
        <v>5747.02</v>
      </c>
      <c r="I236">
        <v>6711.74</v>
      </c>
      <c r="J236">
        <v>964.71999999999935</v>
      </c>
      <c r="K236" s="1">
        <v>16.786438884848135</v>
      </c>
      <c r="L236" t="s">
        <v>55</v>
      </c>
    </row>
    <row r="237" spans="1:12" x14ac:dyDescent="0.3">
      <c r="A237" t="s">
        <v>13</v>
      </c>
      <c r="B237" s="7">
        <v>45748</v>
      </c>
      <c r="C237" t="s">
        <v>22</v>
      </c>
      <c r="D237" t="s">
        <v>26</v>
      </c>
      <c r="E237" t="s">
        <v>32</v>
      </c>
      <c r="F237" t="s">
        <v>41</v>
      </c>
      <c r="G237" t="s">
        <v>46</v>
      </c>
      <c r="H237">
        <v>6815.63</v>
      </c>
      <c r="I237">
        <v>7974.7</v>
      </c>
      <c r="J237">
        <v>1159.0699999999997</v>
      </c>
      <c r="K237" s="1">
        <v>17.00605813402429</v>
      </c>
      <c r="L237" t="s">
        <v>55</v>
      </c>
    </row>
    <row r="238" spans="1:12" x14ac:dyDescent="0.3">
      <c r="A238" t="s">
        <v>13</v>
      </c>
      <c r="B238" s="7">
        <v>45748</v>
      </c>
      <c r="C238" t="s">
        <v>22</v>
      </c>
      <c r="D238" t="s">
        <v>26</v>
      </c>
      <c r="E238" t="s">
        <v>32</v>
      </c>
      <c r="F238" t="s">
        <v>41</v>
      </c>
      <c r="G238" t="s">
        <v>47</v>
      </c>
      <c r="H238">
        <v>13966.13</v>
      </c>
      <c r="I238">
        <v>15978.33</v>
      </c>
      <c r="J238">
        <v>2012.2000000000007</v>
      </c>
      <c r="K238" s="1">
        <v>14.407713518347609</v>
      </c>
      <c r="L238" t="s">
        <v>55</v>
      </c>
    </row>
    <row r="239" spans="1:12" x14ac:dyDescent="0.3">
      <c r="A239" t="s">
        <v>13</v>
      </c>
      <c r="B239" s="7">
        <v>45748</v>
      </c>
      <c r="C239" t="s">
        <v>22</v>
      </c>
      <c r="D239" t="s">
        <v>26</v>
      </c>
      <c r="E239" t="s">
        <v>32</v>
      </c>
      <c r="F239" t="s">
        <v>41</v>
      </c>
      <c r="G239" t="s">
        <v>48</v>
      </c>
      <c r="H239">
        <v>7466.34</v>
      </c>
      <c r="I239">
        <v>8792.9500000000007</v>
      </c>
      <c r="J239">
        <v>1326.6100000000006</v>
      </c>
      <c r="K239" s="1">
        <v>17.767875558841421</v>
      </c>
      <c r="L239" t="s">
        <v>55</v>
      </c>
    </row>
    <row r="240" spans="1:12" x14ac:dyDescent="0.3">
      <c r="A240" t="s">
        <v>13</v>
      </c>
      <c r="B240" s="7">
        <v>45748</v>
      </c>
      <c r="C240" t="s">
        <v>22</v>
      </c>
      <c r="D240" t="s">
        <v>26</v>
      </c>
      <c r="E240" t="s">
        <v>32</v>
      </c>
      <c r="F240" t="s">
        <v>41</v>
      </c>
      <c r="G240" t="s">
        <v>49</v>
      </c>
      <c r="H240">
        <v>2779.97</v>
      </c>
      <c r="I240">
        <v>2871.08</v>
      </c>
      <c r="J240">
        <v>91.110000000000127</v>
      </c>
      <c r="K240" s="1">
        <v>3.2773734968363013</v>
      </c>
      <c r="L240" t="s">
        <v>55</v>
      </c>
    </row>
    <row r="241" spans="1:12" x14ac:dyDescent="0.3">
      <c r="A241" t="s">
        <v>13</v>
      </c>
      <c r="B241" s="7">
        <v>45748</v>
      </c>
      <c r="C241" t="s">
        <v>22</v>
      </c>
      <c r="D241" t="s">
        <v>26</v>
      </c>
      <c r="E241" t="s">
        <v>32</v>
      </c>
      <c r="F241" t="s">
        <v>41</v>
      </c>
      <c r="G241" t="s">
        <v>51</v>
      </c>
      <c r="H241">
        <v>7989.49</v>
      </c>
      <c r="I241">
        <v>8170.23</v>
      </c>
      <c r="J241">
        <v>180.73999999999978</v>
      </c>
      <c r="K241" s="1">
        <v>2.262221994144805</v>
      </c>
      <c r="L241" t="s">
        <v>55</v>
      </c>
    </row>
    <row r="242" spans="1:12" x14ac:dyDescent="0.3">
      <c r="A242" t="s">
        <v>13</v>
      </c>
      <c r="B242" s="7">
        <v>45748</v>
      </c>
      <c r="C242" t="s">
        <v>22</v>
      </c>
      <c r="D242" t="s">
        <v>26</v>
      </c>
      <c r="E242" t="s">
        <v>33</v>
      </c>
      <c r="F242" t="s">
        <v>42</v>
      </c>
      <c r="G242" t="s">
        <v>45</v>
      </c>
      <c r="H242">
        <v>7329.65</v>
      </c>
      <c r="I242">
        <v>7913.07</v>
      </c>
      <c r="J242">
        <v>583.42000000000007</v>
      </c>
      <c r="K242" s="1">
        <v>7.9597252256246902</v>
      </c>
      <c r="L242" t="s">
        <v>55</v>
      </c>
    </row>
    <row r="243" spans="1:12" x14ac:dyDescent="0.3">
      <c r="A243" t="s">
        <v>13</v>
      </c>
      <c r="B243" s="7">
        <v>45748</v>
      </c>
      <c r="C243" t="s">
        <v>22</v>
      </c>
      <c r="D243" t="s">
        <v>26</v>
      </c>
      <c r="E243" t="s">
        <v>33</v>
      </c>
      <c r="F243" t="s">
        <v>42</v>
      </c>
      <c r="G243" t="s">
        <v>46</v>
      </c>
      <c r="H243">
        <v>9204.52</v>
      </c>
      <c r="I243">
        <v>9730.0499999999993</v>
      </c>
      <c r="J243">
        <v>525.52999999999884</v>
      </c>
      <c r="K243" s="1">
        <v>5.7094775175674437</v>
      </c>
      <c r="L243" t="s">
        <v>55</v>
      </c>
    </row>
    <row r="244" spans="1:12" x14ac:dyDescent="0.3">
      <c r="A244" t="s">
        <v>13</v>
      </c>
      <c r="B244" s="7">
        <v>45748</v>
      </c>
      <c r="C244" t="s">
        <v>22</v>
      </c>
      <c r="D244" t="s">
        <v>26</v>
      </c>
      <c r="E244" t="s">
        <v>33</v>
      </c>
      <c r="F244" t="s">
        <v>42</v>
      </c>
      <c r="G244" t="s">
        <v>47</v>
      </c>
      <c r="H244">
        <v>19810.59</v>
      </c>
      <c r="I244">
        <v>22730.32</v>
      </c>
      <c r="J244">
        <v>2919.7299999999996</v>
      </c>
      <c r="K244" s="1">
        <v>14.738228391986304</v>
      </c>
      <c r="L244" t="s">
        <v>55</v>
      </c>
    </row>
    <row r="245" spans="1:12" x14ac:dyDescent="0.3">
      <c r="A245" t="s">
        <v>13</v>
      </c>
      <c r="B245" s="7">
        <v>45748</v>
      </c>
      <c r="C245" t="s">
        <v>22</v>
      </c>
      <c r="D245" t="s">
        <v>26</v>
      </c>
      <c r="E245" t="s">
        <v>33</v>
      </c>
      <c r="F245" t="s">
        <v>42</v>
      </c>
      <c r="G245" t="s">
        <v>48</v>
      </c>
      <c r="H245">
        <v>5440.87</v>
      </c>
      <c r="I245">
        <v>5129.21</v>
      </c>
      <c r="J245">
        <v>-311.65999999999985</v>
      </c>
      <c r="K245" s="1">
        <v>-5.7281280383468056</v>
      </c>
      <c r="L245" t="s">
        <v>55</v>
      </c>
    </row>
    <row r="246" spans="1:12" x14ac:dyDescent="0.3">
      <c r="A246" t="s">
        <v>13</v>
      </c>
      <c r="B246" s="7">
        <v>45748</v>
      </c>
      <c r="C246" t="s">
        <v>22</v>
      </c>
      <c r="D246" t="s">
        <v>26</v>
      </c>
      <c r="E246" t="s">
        <v>33</v>
      </c>
      <c r="F246" t="s">
        <v>42</v>
      </c>
      <c r="G246" t="s">
        <v>49</v>
      </c>
      <c r="H246">
        <v>4620.8599999999997</v>
      </c>
      <c r="I246">
        <v>5285.28</v>
      </c>
      <c r="J246">
        <v>664.42000000000007</v>
      </c>
      <c r="K246" s="1">
        <v>14.378708725215656</v>
      </c>
      <c r="L246" t="s">
        <v>55</v>
      </c>
    </row>
    <row r="247" spans="1:12" x14ac:dyDescent="0.3">
      <c r="A247" t="s">
        <v>13</v>
      </c>
      <c r="B247" s="7">
        <v>45748</v>
      </c>
      <c r="C247" t="s">
        <v>22</v>
      </c>
      <c r="D247" t="s">
        <v>26</v>
      </c>
      <c r="E247" t="s">
        <v>33</v>
      </c>
      <c r="F247" t="s">
        <v>42</v>
      </c>
      <c r="G247" t="s">
        <v>51</v>
      </c>
      <c r="H247">
        <v>6140.36</v>
      </c>
      <c r="I247">
        <v>6475.9</v>
      </c>
      <c r="J247">
        <v>335.53999999999996</v>
      </c>
      <c r="K247" s="1">
        <v>5.4645004527421843</v>
      </c>
      <c r="L247" t="s">
        <v>55</v>
      </c>
    </row>
    <row r="248" spans="1:12" x14ac:dyDescent="0.3">
      <c r="A248" t="s">
        <v>13</v>
      </c>
      <c r="B248" s="7">
        <v>45748</v>
      </c>
      <c r="C248" t="s">
        <v>22</v>
      </c>
      <c r="D248" t="s">
        <v>26</v>
      </c>
      <c r="E248" t="s">
        <v>34</v>
      </c>
      <c r="F248" t="s">
        <v>43</v>
      </c>
      <c r="G248" t="s">
        <v>45</v>
      </c>
      <c r="H248">
        <v>5956.79</v>
      </c>
      <c r="I248">
        <v>5433.07</v>
      </c>
      <c r="J248">
        <v>-523.72000000000025</v>
      </c>
      <c r="K248" s="1">
        <v>-8.7919836019064004</v>
      </c>
      <c r="L248" t="s">
        <v>55</v>
      </c>
    </row>
    <row r="249" spans="1:12" x14ac:dyDescent="0.3">
      <c r="A249" t="s">
        <v>13</v>
      </c>
      <c r="B249" s="7">
        <v>45748</v>
      </c>
      <c r="C249" t="s">
        <v>22</v>
      </c>
      <c r="D249" t="s">
        <v>26</v>
      </c>
      <c r="E249" t="s">
        <v>34</v>
      </c>
      <c r="F249" t="s">
        <v>43</v>
      </c>
      <c r="G249" t="s">
        <v>46</v>
      </c>
      <c r="H249">
        <v>9253.9699999999993</v>
      </c>
      <c r="I249">
        <v>8944.9500000000007</v>
      </c>
      <c r="J249">
        <v>-309.01999999999862</v>
      </c>
      <c r="K249" s="1">
        <v>-3.3393235551876508</v>
      </c>
      <c r="L249" t="s">
        <v>55</v>
      </c>
    </row>
    <row r="250" spans="1:12" x14ac:dyDescent="0.3">
      <c r="A250" t="s">
        <v>13</v>
      </c>
      <c r="B250" s="7">
        <v>45748</v>
      </c>
      <c r="C250" t="s">
        <v>22</v>
      </c>
      <c r="D250" t="s">
        <v>26</v>
      </c>
      <c r="E250" t="s">
        <v>34</v>
      </c>
      <c r="F250" t="s">
        <v>43</v>
      </c>
      <c r="G250" t="s">
        <v>47</v>
      </c>
      <c r="H250">
        <v>19803.490000000002</v>
      </c>
      <c r="I250">
        <v>17340.97</v>
      </c>
      <c r="J250">
        <v>-2462.5200000000004</v>
      </c>
      <c r="K250" s="1">
        <v>-12.434777910358227</v>
      </c>
      <c r="L250" t="s">
        <v>55</v>
      </c>
    </row>
    <row r="251" spans="1:12" x14ac:dyDescent="0.3">
      <c r="A251" t="s">
        <v>13</v>
      </c>
      <c r="B251" s="7">
        <v>45748</v>
      </c>
      <c r="C251" t="s">
        <v>22</v>
      </c>
      <c r="D251" t="s">
        <v>26</v>
      </c>
      <c r="E251" t="s">
        <v>34</v>
      </c>
      <c r="F251" t="s">
        <v>43</v>
      </c>
      <c r="G251" t="s">
        <v>48</v>
      </c>
      <c r="H251">
        <v>9342.4599999999991</v>
      </c>
      <c r="I251">
        <v>10981.59</v>
      </c>
      <c r="J251">
        <v>1639.130000000001</v>
      </c>
      <c r="K251" s="1">
        <v>17.544950687506301</v>
      </c>
      <c r="L251" t="s">
        <v>55</v>
      </c>
    </row>
    <row r="252" spans="1:12" x14ac:dyDescent="0.3">
      <c r="A252" t="s">
        <v>13</v>
      </c>
      <c r="B252" s="7">
        <v>45748</v>
      </c>
      <c r="C252" t="s">
        <v>22</v>
      </c>
      <c r="D252" t="s">
        <v>26</v>
      </c>
      <c r="E252" t="s">
        <v>34</v>
      </c>
      <c r="F252" t="s">
        <v>43</v>
      </c>
      <c r="G252" t="s">
        <v>49</v>
      </c>
      <c r="H252">
        <v>4091.14</v>
      </c>
      <c r="I252">
        <v>4201.24</v>
      </c>
      <c r="J252">
        <v>110.09999999999991</v>
      </c>
      <c r="K252" s="1">
        <v>2.6911814310925539</v>
      </c>
      <c r="L252" t="s">
        <v>55</v>
      </c>
    </row>
    <row r="253" spans="1:12" x14ac:dyDescent="0.3">
      <c r="A253" t="s">
        <v>13</v>
      </c>
      <c r="B253" s="7">
        <v>45748</v>
      </c>
      <c r="C253" t="s">
        <v>22</v>
      </c>
      <c r="D253" t="s">
        <v>26</v>
      </c>
      <c r="E253" t="s">
        <v>34</v>
      </c>
      <c r="F253" t="s">
        <v>43</v>
      </c>
      <c r="G253" t="s">
        <v>51</v>
      </c>
      <c r="H253">
        <v>5614.3</v>
      </c>
      <c r="I253">
        <v>6279.89</v>
      </c>
      <c r="J253">
        <v>665.59000000000015</v>
      </c>
      <c r="K253" s="1">
        <v>11.855262454802915</v>
      </c>
      <c r="L253" t="s">
        <v>55</v>
      </c>
    </row>
    <row r="254" spans="1:12" x14ac:dyDescent="0.3">
      <c r="A254" t="s">
        <v>13</v>
      </c>
      <c r="B254" s="7">
        <v>45748</v>
      </c>
      <c r="C254" t="s">
        <v>23</v>
      </c>
      <c r="D254" t="s">
        <v>27</v>
      </c>
      <c r="E254" t="s">
        <v>35</v>
      </c>
      <c r="F254" t="s">
        <v>41</v>
      </c>
      <c r="G254" t="s">
        <v>45</v>
      </c>
      <c r="H254">
        <v>7545.45</v>
      </c>
      <c r="I254">
        <v>6818.55</v>
      </c>
      <c r="J254">
        <v>-726.89999999999964</v>
      </c>
      <c r="K254" s="1">
        <v>-9.6336202612170201</v>
      </c>
      <c r="L254" t="s">
        <v>55</v>
      </c>
    </row>
    <row r="255" spans="1:12" x14ac:dyDescent="0.3">
      <c r="A255" t="s">
        <v>13</v>
      </c>
      <c r="B255" s="7">
        <v>45748</v>
      </c>
      <c r="C255" t="s">
        <v>23</v>
      </c>
      <c r="D255" t="s">
        <v>27</v>
      </c>
      <c r="E255" t="s">
        <v>35</v>
      </c>
      <c r="F255" t="s">
        <v>41</v>
      </c>
      <c r="G255" t="s">
        <v>46</v>
      </c>
      <c r="H255">
        <v>11669.01</v>
      </c>
      <c r="I255">
        <v>13086.06</v>
      </c>
      <c r="J255">
        <v>1417.0499999999993</v>
      </c>
      <c r="K255" s="1">
        <v>12.143703707512456</v>
      </c>
      <c r="L255" t="s">
        <v>55</v>
      </c>
    </row>
    <row r="256" spans="1:12" x14ac:dyDescent="0.3">
      <c r="A256" t="s">
        <v>13</v>
      </c>
      <c r="B256" s="7">
        <v>45748</v>
      </c>
      <c r="C256" t="s">
        <v>23</v>
      </c>
      <c r="D256" t="s">
        <v>27</v>
      </c>
      <c r="E256" t="s">
        <v>35</v>
      </c>
      <c r="F256" t="s">
        <v>41</v>
      </c>
      <c r="G256" t="s">
        <v>47</v>
      </c>
      <c r="H256">
        <v>23757.84</v>
      </c>
      <c r="I256">
        <v>25883.87</v>
      </c>
      <c r="J256">
        <v>2126.0299999999988</v>
      </c>
      <c r="K256" s="1">
        <v>8.9487512332770933</v>
      </c>
      <c r="L256" t="s">
        <v>55</v>
      </c>
    </row>
    <row r="257" spans="1:12" x14ac:dyDescent="0.3">
      <c r="A257" t="s">
        <v>13</v>
      </c>
      <c r="B257" s="7">
        <v>45748</v>
      </c>
      <c r="C257" t="s">
        <v>23</v>
      </c>
      <c r="D257" t="s">
        <v>27</v>
      </c>
      <c r="E257" t="s">
        <v>35</v>
      </c>
      <c r="F257" t="s">
        <v>41</v>
      </c>
      <c r="G257" t="s">
        <v>48</v>
      </c>
      <c r="H257">
        <v>7826.34</v>
      </c>
      <c r="I257">
        <v>7732.59</v>
      </c>
      <c r="J257">
        <v>-93.75</v>
      </c>
      <c r="K257" s="1">
        <v>-1.1978779352800926</v>
      </c>
      <c r="L257" t="s">
        <v>55</v>
      </c>
    </row>
    <row r="258" spans="1:12" x14ac:dyDescent="0.3">
      <c r="A258" t="s">
        <v>13</v>
      </c>
      <c r="B258" s="7">
        <v>45748</v>
      </c>
      <c r="C258" t="s">
        <v>23</v>
      </c>
      <c r="D258" t="s">
        <v>27</v>
      </c>
      <c r="E258" t="s">
        <v>35</v>
      </c>
      <c r="F258" t="s">
        <v>41</v>
      </c>
      <c r="G258" t="s">
        <v>49</v>
      </c>
      <c r="H258">
        <v>4583.7299999999996</v>
      </c>
      <c r="I258">
        <v>5206.21</v>
      </c>
      <c r="J258">
        <v>622.48000000000047</v>
      </c>
      <c r="K258" s="1">
        <v>13.580206513036339</v>
      </c>
      <c r="L258" t="s">
        <v>55</v>
      </c>
    </row>
    <row r="259" spans="1:12" x14ac:dyDescent="0.3">
      <c r="A259" t="s">
        <v>13</v>
      </c>
      <c r="B259" s="7">
        <v>45748</v>
      </c>
      <c r="C259" t="s">
        <v>23</v>
      </c>
      <c r="D259" t="s">
        <v>27</v>
      </c>
      <c r="E259" t="s">
        <v>35</v>
      </c>
      <c r="F259" t="s">
        <v>41</v>
      </c>
      <c r="G259" t="s">
        <v>51</v>
      </c>
      <c r="H259">
        <v>4662.79</v>
      </c>
      <c r="I259">
        <v>4003.94</v>
      </c>
      <c r="J259">
        <v>-658.84999999999991</v>
      </c>
      <c r="K259" s="1">
        <v>-14.129952238895596</v>
      </c>
      <c r="L259" t="s">
        <v>55</v>
      </c>
    </row>
    <row r="260" spans="1:12" x14ac:dyDescent="0.3">
      <c r="A260" t="s">
        <v>13</v>
      </c>
      <c r="B260" s="7">
        <v>45748</v>
      </c>
      <c r="C260" t="s">
        <v>23</v>
      </c>
      <c r="D260" t="s">
        <v>27</v>
      </c>
      <c r="E260" t="s">
        <v>36</v>
      </c>
      <c r="F260" t="s">
        <v>44</v>
      </c>
      <c r="G260" t="s">
        <v>45</v>
      </c>
      <c r="H260">
        <v>6343.21</v>
      </c>
      <c r="I260">
        <v>7088.42</v>
      </c>
      <c r="J260">
        <v>745.21</v>
      </c>
      <c r="K260" s="1">
        <v>11.748152749160127</v>
      </c>
      <c r="L260" t="s">
        <v>55</v>
      </c>
    </row>
    <row r="261" spans="1:12" x14ac:dyDescent="0.3">
      <c r="A261" t="s">
        <v>13</v>
      </c>
      <c r="B261" s="7">
        <v>45748</v>
      </c>
      <c r="C261" t="s">
        <v>23</v>
      </c>
      <c r="D261" t="s">
        <v>27</v>
      </c>
      <c r="E261" t="s">
        <v>36</v>
      </c>
      <c r="F261" t="s">
        <v>44</v>
      </c>
      <c r="G261" t="s">
        <v>46</v>
      </c>
      <c r="H261">
        <v>12081.29</v>
      </c>
      <c r="I261">
        <v>10868.78</v>
      </c>
      <c r="J261">
        <v>-1212.5100000000002</v>
      </c>
      <c r="K261" s="1">
        <v>-10.036262683869026</v>
      </c>
      <c r="L261" t="s">
        <v>55</v>
      </c>
    </row>
    <row r="262" spans="1:12" x14ac:dyDescent="0.3">
      <c r="A262" t="s">
        <v>13</v>
      </c>
      <c r="B262" s="7">
        <v>45748</v>
      </c>
      <c r="C262" t="s">
        <v>23</v>
      </c>
      <c r="D262" t="s">
        <v>27</v>
      </c>
      <c r="E262" t="s">
        <v>36</v>
      </c>
      <c r="F262" t="s">
        <v>44</v>
      </c>
      <c r="G262" t="s">
        <v>47</v>
      </c>
      <c r="H262">
        <v>19916.61</v>
      </c>
      <c r="I262">
        <v>19432.52</v>
      </c>
      <c r="J262">
        <v>-484.09000000000015</v>
      </c>
      <c r="K262" s="1">
        <v>-2.4305843213277769</v>
      </c>
      <c r="L262" t="s">
        <v>55</v>
      </c>
    </row>
    <row r="263" spans="1:12" x14ac:dyDescent="0.3">
      <c r="A263" t="s">
        <v>13</v>
      </c>
      <c r="B263" s="7">
        <v>45748</v>
      </c>
      <c r="C263" t="s">
        <v>23</v>
      </c>
      <c r="D263" t="s">
        <v>27</v>
      </c>
      <c r="E263" t="s">
        <v>36</v>
      </c>
      <c r="F263" t="s">
        <v>44</v>
      </c>
      <c r="G263" t="s">
        <v>48</v>
      </c>
      <c r="H263">
        <v>9323.64</v>
      </c>
      <c r="I263">
        <v>10516.13</v>
      </c>
      <c r="J263">
        <v>1192.4899999999998</v>
      </c>
      <c r="K263" s="1">
        <v>12.789961860389287</v>
      </c>
      <c r="L263" t="s">
        <v>55</v>
      </c>
    </row>
    <row r="264" spans="1:12" x14ac:dyDescent="0.3">
      <c r="A264" t="s">
        <v>13</v>
      </c>
      <c r="B264" s="7">
        <v>45748</v>
      </c>
      <c r="C264" t="s">
        <v>23</v>
      </c>
      <c r="D264" t="s">
        <v>27</v>
      </c>
      <c r="E264" t="s">
        <v>36</v>
      </c>
      <c r="F264" t="s">
        <v>44</v>
      </c>
      <c r="G264" t="s">
        <v>49</v>
      </c>
      <c r="H264">
        <v>4385.49</v>
      </c>
      <c r="I264">
        <v>4405.97</v>
      </c>
      <c r="J264">
        <v>20.480000000000473</v>
      </c>
      <c r="K264" s="1">
        <v>0.46699456617163587</v>
      </c>
      <c r="L264" t="s">
        <v>55</v>
      </c>
    </row>
    <row r="265" spans="1:12" x14ac:dyDescent="0.3">
      <c r="A265" t="s">
        <v>13</v>
      </c>
      <c r="B265" s="7">
        <v>45748</v>
      </c>
      <c r="C265" t="s">
        <v>23</v>
      </c>
      <c r="D265" t="s">
        <v>27</v>
      </c>
      <c r="E265" t="s">
        <v>36</v>
      </c>
      <c r="F265" t="s">
        <v>44</v>
      </c>
      <c r="G265" t="s">
        <v>51</v>
      </c>
      <c r="H265">
        <v>5993.35</v>
      </c>
      <c r="I265">
        <v>5635.09</v>
      </c>
      <c r="J265">
        <v>-358.26000000000022</v>
      </c>
      <c r="K265" s="1">
        <v>-5.9776252012647388</v>
      </c>
      <c r="L265" t="s">
        <v>55</v>
      </c>
    </row>
    <row r="266" spans="1:12" x14ac:dyDescent="0.3">
      <c r="A266" t="s">
        <v>13</v>
      </c>
      <c r="B266" s="7">
        <v>45748</v>
      </c>
      <c r="C266" t="s">
        <v>23</v>
      </c>
      <c r="D266" t="s">
        <v>27</v>
      </c>
      <c r="E266" t="s">
        <v>37</v>
      </c>
      <c r="F266" t="s">
        <v>43</v>
      </c>
      <c r="G266" t="s">
        <v>45</v>
      </c>
      <c r="H266">
        <v>5094.8599999999997</v>
      </c>
      <c r="I266">
        <v>5784.5</v>
      </c>
      <c r="J266">
        <v>689.64000000000033</v>
      </c>
      <c r="K266" s="1">
        <v>13.535995100944881</v>
      </c>
      <c r="L266" t="s">
        <v>55</v>
      </c>
    </row>
    <row r="267" spans="1:12" x14ac:dyDescent="0.3">
      <c r="A267" t="s">
        <v>13</v>
      </c>
      <c r="B267" s="7">
        <v>45748</v>
      </c>
      <c r="C267" t="s">
        <v>23</v>
      </c>
      <c r="D267" t="s">
        <v>27</v>
      </c>
      <c r="E267" t="s">
        <v>37</v>
      </c>
      <c r="F267" t="s">
        <v>43</v>
      </c>
      <c r="G267" t="s">
        <v>46</v>
      </c>
      <c r="H267">
        <v>11139.67</v>
      </c>
      <c r="I267">
        <v>13143.77</v>
      </c>
      <c r="J267">
        <v>2004.1000000000004</v>
      </c>
      <c r="K267" s="1">
        <v>17.990658610174272</v>
      </c>
      <c r="L267" t="s">
        <v>55</v>
      </c>
    </row>
    <row r="268" spans="1:12" x14ac:dyDescent="0.3">
      <c r="A268" t="s">
        <v>13</v>
      </c>
      <c r="B268" s="7">
        <v>45748</v>
      </c>
      <c r="C268" t="s">
        <v>23</v>
      </c>
      <c r="D268" t="s">
        <v>27</v>
      </c>
      <c r="E268" t="s">
        <v>37</v>
      </c>
      <c r="F268" t="s">
        <v>43</v>
      </c>
      <c r="G268" t="s">
        <v>47</v>
      </c>
      <c r="H268">
        <v>24263.68</v>
      </c>
      <c r="I268">
        <v>25071.48</v>
      </c>
      <c r="J268">
        <v>807.79999999999927</v>
      </c>
      <c r="K268" s="1">
        <v>3.329255908419495</v>
      </c>
      <c r="L268" t="s">
        <v>55</v>
      </c>
    </row>
    <row r="269" spans="1:12" x14ac:dyDescent="0.3">
      <c r="A269" t="s">
        <v>13</v>
      </c>
      <c r="B269" s="7">
        <v>45748</v>
      </c>
      <c r="C269" t="s">
        <v>23</v>
      </c>
      <c r="D269" t="s">
        <v>27</v>
      </c>
      <c r="E269" t="s">
        <v>37</v>
      </c>
      <c r="F269" t="s">
        <v>43</v>
      </c>
      <c r="G269" t="s">
        <v>48</v>
      </c>
      <c r="H269">
        <v>8479.75</v>
      </c>
      <c r="I269">
        <v>9851.5400000000009</v>
      </c>
      <c r="J269">
        <v>1371.7900000000009</v>
      </c>
      <c r="K269" s="1">
        <v>16.177245791444335</v>
      </c>
      <c r="L269" t="s">
        <v>55</v>
      </c>
    </row>
    <row r="270" spans="1:12" x14ac:dyDescent="0.3">
      <c r="A270" t="s">
        <v>13</v>
      </c>
      <c r="B270" s="7">
        <v>45748</v>
      </c>
      <c r="C270" t="s">
        <v>23</v>
      </c>
      <c r="D270" t="s">
        <v>27</v>
      </c>
      <c r="E270" t="s">
        <v>37</v>
      </c>
      <c r="F270" t="s">
        <v>43</v>
      </c>
      <c r="G270" t="s">
        <v>49</v>
      </c>
      <c r="H270">
        <v>4409.26</v>
      </c>
      <c r="I270">
        <v>4107.78</v>
      </c>
      <c r="J270">
        <v>-301.48000000000047</v>
      </c>
      <c r="K270" s="1">
        <v>-6.8374285027419672</v>
      </c>
      <c r="L270" t="s">
        <v>55</v>
      </c>
    </row>
    <row r="271" spans="1:12" x14ac:dyDescent="0.3">
      <c r="A271" t="s">
        <v>13</v>
      </c>
      <c r="B271" s="7">
        <v>45748</v>
      </c>
      <c r="C271" t="s">
        <v>23</v>
      </c>
      <c r="D271" t="s">
        <v>27</v>
      </c>
      <c r="E271" t="s">
        <v>37</v>
      </c>
      <c r="F271" t="s">
        <v>43</v>
      </c>
      <c r="G271" t="s">
        <v>51</v>
      </c>
      <c r="H271">
        <v>6121.96</v>
      </c>
      <c r="I271">
        <v>5464.6</v>
      </c>
      <c r="J271">
        <v>-657.35999999999967</v>
      </c>
      <c r="K271" s="1">
        <v>-10.737737587308633</v>
      </c>
      <c r="L271" t="s">
        <v>55</v>
      </c>
    </row>
    <row r="272" spans="1:12" x14ac:dyDescent="0.3">
      <c r="A272" t="s">
        <v>13</v>
      </c>
      <c r="B272" s="7">
        <v>45748</v>
      </c>
      <c r="C272" t="s">
        <v>24</v>
      </c>
      <c r="D272" t="s">
        <v>28</v>
      </c>
      <c r="E272" t="s">
        <v>38</v>
      </c>
      <c r="F272" t="s">
        <v>41</v>
      </c>
      <c r="G272" t="s">
        <v>45</v>
      </c>
      <c r="H272">
        <v>8595.7999999999993</v>
      </c>
      <c r="I272">
        <v>9025.91</v>
      </c>
      <c r="J272">
        <v>430.11000000000058</v>
      </c>
      <c r="K272" s="1">
        <v>5.0037227483189533</v>
      </c>
      <c r="L272" t="s">
        <v>55</v>
      </c>
    </row>
    <row r="273" spans="1:12" x14ac:dyDescent="0.3">
      <c r="A273" t="s">
        <v>13</v>
      </c>
      <c r="B273" s="7">
        <v>45748</v>
      </c>
      <c r="C273" t="s">
        <v>24</v>
      </c>
      <c r="D273" t="s">
        <v>28</v>
      </c>
      <c r="E273" t="s">
        <v>38</v>
      </c>
      <c r="F273" t="s">
        <v>41</v>
      </c>
      <c r="G273" t="s">
        <v>46</v>
      </c>
      <c r="H273">
        <v>7984.67</v>
      </c>
      <c r="I273">
        <v>8556.86</v>
      </c>
      <c r="J273">
        <v>572.19000000000051</v>
      </c>
      <c r="K273" s="1">
        <v>7.1661070526396271</v>
      </c>
      <c r="L273" t="s">
        <v>55</v>
      </c>
    </row>
    <row r="274" spans="1:12" x14ac:dyDescent="0.3">
      <c r="A274" t="s">
        <v>13</v>
      </c>
      <c r="B274" s="7">
        <v>45748</v>
      </c>
      <c r="C274" t="s">
        <v>24</v>
      </c>
      <c r="D274" t="s">
        <v>28</v>
      </c>
      <c r="E274" t="s">
        <v>38</v>
      </c>
      <c r="F274" t="s">
        <v>41</v>
      </c>
      <c r="G274" t="s">
        <v>47</v>
      </c>
      <c r="H274">
        <v>20175.78</v>
      </c>
      <c r="I274">
        <v>19534.07</v>
      </c>
      <c r="J274">
        <v>-641.70999999999913</v>
      </c>
      <c r="K274" s="1">
        <v>-3.1805957440059278</v>
      </c>
      <c r="L274" t="s">
        <v>55</v>
      </c>
    </row>
    <row r="275" spans="1:12" x14ac:dyDescent="0.3">
      <c r="A275" t="s">
        <v>13</v>
      </c>
      <c r="B275" s="7">
        <v>45748</v>
      </c>
      <c r="C275" t="s">
        <v>24</v>
      </c>
      <c r="D275" t="s">
        <v>28</v>
      </c>
      <c r="E275" t="s">
        <v>38</v>
      </c>
      <c r="F275" t="s">
        <v>41</v>
      </c>
      <c r="G275" t="s">
        <v>48</v>
      </c>
      <c r="H275">
        <v>5726.94</v>
      </c>
      <c r="I275">
        <v>6137.1</v>
      </c>
      <c r="J275">
        <v>410.16000000000076</v>
      </c>
      <c r="K275" s="1">
        <v>7.1619398841266158</v>
      </c>
      <c r="L275" t="s">
        <v>55</v>
      </c>
    </row>
    <row r="276" spans="1:12" x14ac:dyDescent="0.3">
      <c r="A276" t="s">
        <v>13</v>
      </c>
      <c r="B276" s="7">
        <v>45748</v>
      </c>
      <c r="C276" t="s">
        <v>24</v>
      </c>
      <c r="D276" t="s">
        <v>28</v>
      </c>
      <c r="E276" t="s">
        <v>38</v>
      </c>
      <c r="F276" t="s">
        <v>41</v>
      </c>
      <c r="G276" t="s">
        <v>49</v>
      </c>
      <c r="H276">
        <v>3717.65</v>
      </c>
      <c r="I276">
        <v>4107.5</v>
      </c>
      <c r="J276">
        <v>389.84999999999991</v>
      </c>
      <c r="K276" s="1">
        <v>10.486463222734789</v>
      </c>
      <c r="L276" t="s">
        <v>55</v>
      </c>
    </row>
    <row r="277" spans="1:12" x14ac:dyDescent="0.3">
      <c r="A277" t="s">
        <v>13</v>
      </c>
      <c r="B277" s="7">
        <v>45748</v>
      </c>
      <c r="C277" t="s">
        <v>24</v>
      </c>
      <c r="D277" t="s">
        <v>28</v>
      </c>
      <c r="E277" t="s">
        <v>38</v>
      </c>
      <c r="F277" t="s">
        <v>41</v>
      </c>
      <c r="G277" t="s">
        <v>51</v>
      </c>
      <c r="H277">
        <v>6372.59</v>
      </c>
      <c r="I277">
        <v>7208.8</v>
      </c>
      <c r="J277">
        <v>836.21</v>
      </c>
      <c r="K277" s="1">
        <v>13.121980230957901</v>
      </c>
      <c r="L277" t="s">
        <v>55</v>
      </c>
    </row>
    <row r="278" spans="1:12" x14ac:dyDescent="0.3">
      <c r="A278" t="s">
        <v>13</v>
      </c>
      <c r="B278" s="7">
        <v>45748</v>
      </c>
      <c r="C278" t="s">
        <v>24</v>
      </c>
      <c r="D278" t="s">
        <v>28</v>
      </c>
      <c r="E278" t="s">
        <v>39</v>
      </c>
      <c r="F278" t="s">
        <v>44</v>
      </c>
      <c r="G278" t="s">
        <v>45</v>
      </c>
      <c r="H278">
        <v>7027.44</v>
      </c>
      <c r="I278">
        <v>7274.17</v>
      </c>
      <c r="J278">
        <v>246.73000000000047</v>
      </c>
      <c r="K278" s="1">
        <v>3.5109513563972157</v>
      </c>
      <c r="L278" t="s">
        <v>55</v>
      </c>
    </row>
    <row r="279" spans="1:12" x14ac:dyDescent="0.3">
      <c r="A279" t="s">
        <v>13</v>
      </c>
      <c r="B279" s="7">
        <v>45748</v>
      </c>
      <c r="C279" t="s">
        <v>24</v>
      </c>
      <c r="D279" t="s">
        <v>28</v>
      </c>
      <c r="E279" t="s">
        <v>39</v>
      </c>
      <c r="F279" t="s">
        <v>44</v>
      </c>
      <c r="G279" t="s">
        <v>46</v>
      </c>
      <c r="H279">
        <v>11483.93</v>
      </c>
      <c r="I279">
        <v>11290.42</v>
      </c>
      <c r="J279">
        <v>-193.51000000000022</v>
      </c>
      <c r="K279" s="1">
        <v>-1.6850503268480408</v>
      </c>
      <c r="L279" t="s">
        <v>55</v>
      </c>
    </row>
    <row r="280" spans="1:12" x14ac:dyDescent="0.3">
      <c r="A280" t="s">
        <v>13</v>
      </c>
      <c r="B280" s="7">
        <v>45748</v>
      </c>
      <c r="C280" t="s">
        <v>24</v>
      </c>
      <c r="D280" t="s">
        <v>28</v>
      </c>
      <c r="E280" t="s">
        <v>39</v>
      </c>
      <c r="F280" t="s">
        <v>44</v>
      </c>
      <c r="G280" t="s">
        <v>47</v>
      </c>
      <c r="H280">
        <v>14947.36</v>
      </c>
      <c r="I280">
        <v>12847.23</v>
      </c>
      <c r="J280">
        <v>-2100.130000000001</v>
      </c>
      <c r="K280" s="1">
        <v>-14.050173408548405</v>
      </c>
      <c r="L280" t="s">
        <v>55</v>
      </c>
    </row>
    <row r="281" spans="1:12" x14ac:dyDescent="0.3">
      <c r="A281" t="s">
        <v>13</v>
      </c>
      <c r="B281" s="7">
        <v>45748</v>
      </c>
      <c r="C281" t="s">
        <v>24</v>
      </c>
      <c r="D281" t="s">
        <v>28</v>
      </c>
      <c r="E281" t="s">
        <v>39</v>
      </c>
      <c r="F281" t="s">
        <v>44</v>
      </c>
      <c r="G281" t="s">
        <v>48</v>
      </c>
      <c r="H281">
        <v>8421.58</v>
      </c>
      <c r="I281">
        <v>8882.25</v>
      </c>
      <c r="J281">
        <v>460.67000000000007</v>
      </c>
      <c r="K281" s="1">
        <v>5.4701136841305322</v>
      </c>
      <c r="L281" t="s">
        <v>55</v>
      </c>
    </row>
    <row r="282" spans="1:12" x14ac:dyDescent="0.3">
      <c r="A282" t="s">
        <v>13</v>
      </c>
      <c r="B282" s="7">
        <v>45748</v>
      </c>
      <c r="C282" t="s">
        <v>24</v>
      </c>
      <c r="D282" t="s">
        <v>28</v>
      </c>
      <c r="E282" t="s">
        <v>39</v>
      </c>
      <c r="F282" t="s">
        <v>44</v>
      </c>
      <c r="G282" t="s">
        <v>49</v>
      </c>
      <c r="H282">
        <v>4103.57</v>
      </c>
      <c r="I282">
        <v>3776.42</v>
      </c>
      <c r="J282">
        <v>-327.14999999999964</v>
      </c>
      <c r="K282" s="1">
        <v>-7.972326535187646</v>
      </c>
      <c r="L282" t="s">
        <v>55</v>
      </c>
    </row>
    <row r="283" spans="1:12" x14ac:dyDescent="0.3">
      <c r="A283" t="s">
        <v>13</v>
      </c>
      <c r="B283" s="7">
        <v>45748</v>
      </c>
      <c r="C283" t="s">
        <v>24</v>
      </c>
      <c r="D283" t="s">
        <v>28</v>
      </c>
      <c r="E283" t="s">
        <v>39</v>
      </c>
      <c r="F283" t="s">
        <v>44</v>
      </c>
      <c r="G283" t="s">
        <v>51</v>
      </c>
      <c r="H283">
        <v>4990.9399999999996</v>
      </c>
      <c r="I283">
        <v>4266.25</v>
      </c>
      <c r="J283">
        <v>-724.6899999999996</v>
      </c>
      <c r="K283" s="1">
        <v>-14.520110440117486</v>
      </c>
      <c r="L283" t="s">
        <v>55</v>
      </c>
    </row>
    <row r="284" spans="1:12" x14ac:dyDescent="0.3">
      <c r="A284" t="s">
        <v>13</v>
      </c>
      <c r="B284" s="7">
        <v>45748</v>
      </c>
      <c r="C284" t="s">
        <v>24</v>
      </c>
      <c r="D284" t="s">
        <v>28</v>
      </c>
      <c r="E284" t="s">
        <v>40</v>
      </c>
      <c r="F284" t="s">
        <v>43</v>
      </c>
      <c r="G284" t="s">
        <v>45</v>
      </c>
      <c r="H284">
        <v>6242.29</v>
      </c>
      <c r="I284">
        <v>6521.15</v>
      </c>
      <c r="J284">
        <v>278.85999999999967</v>
      </c>
      <c r="K284" s="1">
        <v>4.4672708252900728</v>
      </c>
      <c r="L284" t="s">
        <v>55</v>
      </c>
    </row>
    <row r="285" spans="1:12" x14ac:dyDescent="0.3">
      <c r="A285" t="s">
        <v>13</v>
      </c>
      <c r="B285" s="7">
        <v>45748</v>
      </c>
      <c r="C285" t="s">
        <v>24</v>
      </c>
      <c r="D285" t="s">
        <v>28</v>
      </c>
      <c r="E285" t="s">
        <v>40</v>
      </c>
      <c r="F285" t="s">
        <v>43</v>
      </c>
      <c r="G285" t="s">
        <v>46</v>
      </c>
      <c r="H285">
        <v>8868.1200000000008</v>
      </c>
      <c r="I285">
        <v>8818.16</v>
      </c>
      <c r="J285">
        <v>-49.960000000000946</v>
      </c>
      <c r="K285" s="1">
        <v>-0.56336630537251342</v>
      </c>
      <c r="L285" t="s">
        <v>55</v>
      </c>
    </row>
    <row r="286" spans="1:12" x14ac:dyDescent="0.3">
      <c r="A286" t="s">
        <v>13</v>
      </c>
      <c r="B286" s="7">
        <v>45748</v>
      </c>
      <c r="C286" t="s">
        <v>24</v>
      </c>
      <c r="D286" t="s">
        <v>28</v>
      </c>
      <c r="E286" t="s">
        <v>40</v>
      </c>
      <c r="F286" t="s">
        <v>43</v>
      </c>
      <c r="G286" t="s">
        <v>47</v>
      </c>
      <c r="H286">
        <v>23264.91</v>
      </c>
      <c r="I286">
        <v>22448.880000000001</v>
      </c>
      <c r="J286">
        <v>-816.02999999999884</v>
      </c>
      <c r="K286" s="1">
        <v>-3.5075570891956982</v>
      </c>
      <c r="L286" t="s">
        <v>55</v>
      </c>
    </row>
    <row r="287" spans="1:12" x14ac:dyDescent="0.3">
      <c r="A287" t="s">
        <v>13</v>
      </c>
      <c r="B287" s="7">
        <v>45748</v>
      </c>
      <c r="C287" t="s">
        <v>24</v>
      </c>
      <c r="D287" t="s">
        <v>28</v>
      </c>
      <c r="E287" t="s">
        <v>40</v>
      </c>
      <c r="F287" t="s">
        <v>43</v>
      </c>
      <c r="G287" t="s">
        <v>48</v>
      </c>
      <c r="H287">
        <v>7408.76</v>
      </c>
      <c r="I287">
        <v>8213.39</v>
      </c>
      <c r="J287">
        <v>804.6299999999992</v>
      </c>
      <c r="K287" s="1">
        <v>10.860521868706762</v>
      </c>
      <c r="L287" t="s">
        <v>55</v>
      </c>
    </row>
    <row r="288" spans="1:12" x14ac:dyDescent="0.3">
      <c r="A288" t="s">
        <v>13</v>
      </c>
      <c r="B288" s="7">
        <v>45748</v>
      </c>
      <c r="C288" t="s">
        <v>24</v>
      </c>
      <c r="D288" t="s">
        <v>28</v>
      </c>
      <c r="E288" t="s">
        <v>40</v>
      </c>
      <c r="F288" t="s">
        <v>43</v>
      </c>
      <c r="G288" t="s">
        <v>49</v>
      </c>
      <c r="H288">
        <v>3457.74</v>
      </c>
      <c r="I288">
        <v>3648.91</v>
      </c>
      <c r="J288">
        <v>191.17000000000007</v>
      </c>
      <c r="K288" s="1">
        <v>5.5287557768947373</v>
      </c>
      <c r="L288" t="s">
        <v>55</v>
      </c>
    </row>
    <row r="289" spans="1:12" x14ac:dyDescent="0.3">
      <c r="A289" t="s">
        <v>13</v>
      </c>
      <c r="B289" s="7">
        <v>45748</v>
      </c>
      <c r="C289" t="s">
        <v>24</v>
      </c>
      <c r="D289" t="s">
        <v>28</v>
      </c>
      <c r="E289" t="s">
        <v>40</v>
      </c>
      <c r="F289" t="s">
        <v>43</v>
      </c>
      <c r="G289" t="s">
        <v>51</v>
      </c>
      <c r="H289">
        <v>7604.51</v>
      </c>
      <c r="I289">
        <v>8846.64</v>
      </c>
      <c r="J289">
        <v>1242.1299999999992</v>
      </c>
      <c r="K289" s="1">
        <v>16.334122777141449</v>
      </c>
      <c r="L289" t="s">
        <v>55</v>
      </c>
    </row>
    <row r="290" spans="1:12" x14ac:dyDescent="0.3">
      <c r="A290" t="s">
        <v>14</v>
      </c>
      <c r="B290" s="7">
        <v>45778</v>
      </c>
      <c r="C290" t="s">
        <v>21</v>
      </c>
      <c r="D290" t="s">
        <v>25</v>
      </c>
      <c r="E290" t="s">
        <v>29</v>
      </c>
      <c r="F290" t="s">
        <v>41</v>
      </c>
      <c r="G290" t="s">
        <v>45</v>
      </c>
      <c r="H290">
        <v>5448.59</v>
      </c>
      <c r="I290">
        <v>20448.59</v>
      </c>
      <c r="J290">
        <v>15000</v>
      </c>
      <c r="K290" s="1">
        <v>275.30058235249857</v>
      </c>
      <c r="L290" t="s">
        <v>54</v>
      </c>
    </row>
    <row r="291" spans="1:12" x14ac:dyDescent="0.3">
      <c r="A291" t="s">
        <v>14</v>
      </c>
      <c r="B291" s="7">
        <v>45778</v>
      </c>
      <c r="C291" t="s">
        <v>21</v>
      </c>
      <c r="D291" t="s">
        <v>25</v>
      </c>
      <c r="E291" t="s">
        <v>29</v>
      </c>
      <c r="F291" t="s">
        <v>41</v>
      </c>
      <c r="G291" t="s">
        <v>46</v>
      </c>
      <c r="H291">
        <v>9407.43</v>
      </c>
      <c r="I291">
        <v>8798.02</v>
      </c>
      <c r="J291">
        <v>-609.40999999999985</v>
      </c>
      <c r="K291" s="1">
        <v>-6.477964757643691</v>
      </c>
      <c r="L291" t="s">
        <v>55</v>
      </c>
    </row>
    <row r="292" spans="1:12" x14ac:dyDescent="0.3">
      <c r="A292" t="s">
        <v>14</v>
      </c>
      <c r="B292" s="7">
        <v>45778</v>
      </c>
      <c r="C292" t="s">
        <v>21</v>
      </c>
      <c r="D292" t="s">
        <v>25</v>
      </c>
      <c r="E292" t="s">
        <v>29</v>
      </c>
      <c r="F292" t="s">
        <v>41</v>
      </c>
      <c r="G292" t="s">
        <v>47</v>
      </c>
      <c r="H292">
        <v>18458.669999999998</v>
      </c>
      <c r="I292">
        <v>21659.599999999999</v>
      </c>
      <c r="J292">
        <v>3200.9300000000003</v>
      </c>
      <c r="K292" s="1">
        <v>17.341065201338996</v>
      </c>
      <c r="L292" t="s">
        <v>55</v>
      </c>
    </row>
    <row r="293" spans="1:12" x14ac:dyDescent="0.3">
      <c r="A293" t="s">
        <v>14</v>
      </c>
      <c r="B293" s="7">
        <v>45778</v>
      </c>
      <c r="C293" t="s">
        <v>21</v>
      </c>
      <c r="D293" t="s">
        <v>25</v>
      </c>
      <c r="E293" t="s">
        <v>29</v>
      </c>
      <c r="F293" t="s">
        <v>41</v>
      </c>
      <c r="G293" t="s">
        <v>48</v>
      </c>
      <c r="H293">
        <v>7319</v>
      </c>
      <c r="I293">
        <v>7015.17</v>
      </c>
      <c r="J293">
        <v>-303.82999999999993</v>
      </c>
      <c r="K293" s="1">
        <v>-4.1512501707883578</v>
      </c>
      <c r="L293" t="s">
        <v>55</v>
      </c>
    </row>
    <row r="294" spans="1:12" x14ac:dyDescent="0.3">
      <c r="A294" t="s">
        <v>14</v>
      </c>
      <c r="B294" s="7">
        <v>45778</v>
      </c>
      <c r="C294" t="s">
        <v>21</v>
      </c>
      <c r="D294" t="s">
        <v>25</v>
      </c>
      <c r="E294" t="s">
        <v>29</v>
      </c>
      <c r="F294" t="s">
        <v>41</v>
      </c>
      <c r="G294" t="s">
        <v>49</v>
      </c>
      <c r="H294">
        <v>3955.14</v>
      </c>
      <c r="I294">
        <v>3675.31</v>
      </c>
      <c r="J294">
        <v>-279.82999999999993</v>
      </c>
      <c r="K294" s="1">
        <v>-7.075097215269242</v>
      </c>
      <c r="L294" t="s">
        <v>55</v>
      </c>
    </row>
    <row r="295" spans="1:12" x14ac:dyDescent="0.3">
      <c r="A295" t="s">
        <v>14</v>
      </c>
      <c r="B295" s="7">
        <v>45778</v>
      </c>
      <c r="C295" t="s">
        <v>21</v>
      </c>
      <c r="D295" t="s">
        <v>25</v>
      </c>
      <c r="E295" t="s">
        <v>29</v>
      </c>
      <c r="F295" t="s">
        <v>41</v>
      </c>
      <c r="G295" t="s">
        <v>51</v>
      </c>
      <c r="H295">
        <v>4773.1099999999997</v>
      </c>
      <c r="I295">
        <v>4260.1400000000003</v>
      </c>
      <c r="J295">
        <v>-512.96999999999935</v>
      </c>
      <c r="K295" s="1">
        <v>-10.7470810435963</v>
      </c>
      <c r="L295" t="s">
        <v>55</v>
      </c>
    </row>
    <row r="296" spans="1:12" x14ac:dyDescent="0.3">
      <c r="A296" t="s">
        <v>14</v>
      </c>
      <c r="B296" s="7">
        <v>45778</v>
      </c>
      <c r="C296" t="s">
        <v>21</v>
      </c>
      <c r="D296" t="s">
        <v>25</v>
      </c>
      <c r="E296" t="s">
        <v>30</v>
      </c>
      <c r="F296" t="s">
        <v>42</v>
      </c>
      <c r="G296" t="s">
        <v>45</v>
      </c>
      <c r="H296">
        <v>5374.38</v>
      </c>
      <c r="I296">
        <v>4837.63</v>
      </c>
      <c r="J296">
        <v>-536.75</v>
      </c>
      <c r="K296" s="1">
        <v>-9.9871985233645564</v>
      </c>
      <c r="L296" t="s">
        <v>55</v>
      </c>
    </row>
    <row r="297" spans="1:12" x14ac:dyDescent="0.3">
      <c r="A297" t="s">
        <v>14</v>
      </c>
      <c r="B297" s="7">
        <v>45778</v>
      </c>
      <c r="C297" t="s">
        <v>21</v>
      </c>
      <c r="D297" t="s">
        <v>25</v>
      </c>
      <c r="E297" t="s">
        <v>30</v>
      </c>
      <c r="F297" t="s">
        <v>42</v>
      </c>
      <c r="G297" t="s">
        <v>46</v>
      </c>
      <c r="H297">
        <v>7499.67</v>
      </c>
      <c r="I297">
        <v>7960.81</v>
      </c>
      <c r="J297">
        <v>461.14000000000033</v>
      </c>
      <c r="K297" s="1">
        <v>6.1488038807040883</v>
      </c>
      <c r="L297" t="s">
        <v>55</v>
      </c>
    </row>
    <row r="298" spans="1:12" x14ac:dyDescent="0.3">
      <c r="A298" t="s">
        <v>14</v>
      </c>
      <c r="B298" s="7">
        <v>45778</v>
      </c>
      <c r="C298" t="s">
        <v>21</v>
      </c>
      <c r="D298" t="s">
        <v>25</v>
      </c>
      <c r="E298" t="s">
        <v>30</v>
      </c>
      <c r="F298" t="s">
        <v>42</v>
      </c>
      <c r="G298" t="s">
        <v>47</v>
      </c>
      <c r="H298">
        <v>15464.3</v>
      </c>
      <c r="I298">
        <v>14908.68</v>
      </c>
      <c r="J298">
        <v>-555.61999999999898</v>
      </c>
      <c r="K298" s="1">
        <v>-3.592920468433741</v>
      </c>
      <c r="L298" t="s">
        <v>55</v>
      </c>
    </row>
    <row r="299" spans="1:12" x14ac:dyDescent="0.3">
      <c r="A299" t="s">
        <v>14</v>
      </c>
      <c r="B299" s="7">
        <v>45778</v>
      </c>
      <c r="C299" t="s">
        <v>21</v>
      </c>
      <c r="D299" t="s">
        <v>25</v>
      </c>
      <c r="E299" t="s">
        <v>30</v>
      </c>
      <c r="F299" t="s">
        <v>42</v>
      </c>
      <c r="G299" t="s">
        <v>48</v>
      </c>
      <c r="H299">
        <v>9016.51</v>
      </c>
      <c r="I299">
        <v>9074.2800000000007</v>
      </c>
      <c r="J299">
        <v>57.770000000000437</v>
      </c>
      <c r="K299" s="1">
        <v>0.64071353550320953</v>
      </c>
      <c r="L299" t="s">
        <v>55</v>
      </c>
    </row>
    <row r="300" spans="1:12" x14ac:dyDescent="0.3">
      <c r="A300" t="s">
        <v>14</v>
      </c>
      <c r="B300" s="7">
        <v>45778</v>
      </c>
      <c r="C300" t="s">
        <v>21</v>
      </c>
      <c r="D300" t="s">
        <v>25</v>
      </c>
      <c r="E300" t="s">
        <v>30</v>
      </c>
      <c r="F300" t="s">
        <v>42</v>
      </c>
      <c r="G300" t="s">
        <v>49</v>
      </c>
      <c r="H300">
        <v>4026.87</v>
      </c>
      <c r="I300">
        <v>3651.83</v>
      </c>
      <c r="J300">
        <v>-375.03999999999996</v>
      </c>
      <c r="K300" s="1">
        <v>-9.3134369870395606</v>
      </c>
      <c r="L300" t="s">
        <v>55</v>
      </c>
    </row>
    <row r="301" spans="1:12" x14ac:dyDescent="0.3">
      <c r="A301" t="s">
        <v>14</v>
      </c>
      <c r="B301" s="7">
        <v>45778</v>
      </c>
      <c r="C301" t="s">
        <v>21</v>
      </c>
      <c r="D301" t="s">
        <v>25</v>
      </c>
      <c r="E301" t="s">
        <v>30</v>
      </c>
      <c r="F301" t="s">
        <v>42</v>
      </c>
      <c r="G301" t="s">
        <v>51</v>
      </c>
      <c r="H301">
        <v>5192.24</v>
      </c>
      <c r="I301">
        <v>4483.43</v>
      </c>
      <c r="J301">
        <v>-708.80999999999949</v>
      </c>
      <c r="K301" s="1">
        <v>-13.651333528496362</v>
      </c>
      <c r="L301" t="s">
        <v>55</v>
      </c>
    </row>
    <row r="302" spans="1:12" x14ac:dyDescent="0.3">
      <c r="A302" t="s">
        <v>14</v>
      </c>
      <c r="B302" s="7">
        <v>45778</v>
      </c>
      <c r="C302" t="s">
        <v>21</v>
      </c>
      <c r="D302" t="s">
        <v>25</v>
      </c>
      <c r="E302" t="s">
        <v>31</v>
      </c>
      <c r="F302" t="s">
        <v>43</v>
      </c>
      <c r="G302" t="s">
        <v>45</v>
      </c>
      <c r="H302">
        <v>5533.85</v>
      </c>
      <c r="I302">
        <v>5212.5200000000004</v>
      </c>
      <c r="J302">
        <v>-321.32999999999993</v>
      </c>
      <c r="K302" s="1">
        <v>-5.8066264896952369</v>
      </c>
      <c r="L302" t="s">
        <v>55</v>
      </c>
    </row>
    <row r="303" spans="1:12" x14ac:dyDescent="0.3">
      <c r="A303" t="s">
        <v>14</v>
      </c>
      <c r="B303" s="7">
        <v>45778</v>
      </c>
      <c r="C303" t="s">
        <v>21</v>
      </c>
      <c r="D303" t="s">
        <v>25</v>
      </c>
      <c r="E303" t="s">
        <v>31</v>
      </c>
      <c r="F303" t="s">
        <v>43</v>
      </c>
      <c r="G303" t="s">
        <v>46</v>
      </c>
      <c r="H303">
        <v>7705.86</v>
      </c>
      <c r="I303">
        <v>6775.54</v>
      </c>
      <c r="J303">
        <v>-930.31999999999971</v>
      </c>
      <c r="K303" s="1">
        <v>-12.072889982428954</v>
      </c>
      <c r="L303" t="s">
        <v>55</v>
      </c>
    </row>
    <row r="304" spans="1:12" x14ac:dyDescent="0.3">
      <c r="A304" t="s">
        <v>14</v>
      </c>
      <c r="B304" s="7">
        <v>45778</v>
      </c>
      <c r="C304" t="s">
        <v>21</v>
      </c>
      <c r="D304" t="s">
        <v>25</v>
      </c>
      <c r="E304" t="s">
        <v>31</v>
      </c>
      <c r="F304" t="s">
        <v>43</v>
      </c>
      <c r="G304" t="s">
        <v>47</v>
      </c>
      <c r="H304">
        <v>14802.87</v>
      </c>
      <c r="I304">
        <v>14833.32</v>
      </c>
      <c r="J304">
        <v>30.449999999998909</v>
      </c>
      <c r="K304" s="1">
        <v>0.20570335347131269</v>
      </c>
      <c r="L304" t="s">
        <v>55</v>
      </c>
    </row>
    <row r="305" spans="1:12" x14ac:dyDescent="0.3">
      <c r="A305" t="s">
        <v>14</v>
      </c>
      <c r="B305" s="7">
        <v>45778</v>
      </c>
      <c r="C305" t="s">
        <v>21</v>
      </c>
      <c r="D305" t="s">
        <v>25</v>
      </c>
      <c r="E305" t="s">
        <v>31</v>
      </c>
      <c r="F305" t="s">
        <v>43</v>
      </c>
      <c r="G305" t="s">
        <v>48</v>
      </c>
      <c r="H305">
        <v>6116.6</v>
      </c>
      <c r="I305">
        <v>5934.38</v>
      </c>
      <c r="J305">
        <v>-182.22000000000025</v>
      </c>
      <c r="K305" s="1">
        <v>-2.9791060393028848</v>
      </c>
      <c r="L305" t="s">
        <v>55</v>
      </c>
    </row>
    <row r="306" spans="1:12" x14ac:dyDescent="0.3">
      <c r="A306" t="s">
        <v>14</v>
      </c>
      <c r="B306" s="7">
        <v>45778</v>
      </c>
      <c r="C306" t="s">
        <v>21</v>
      </c>
      <c r="D306" t="s">
        <v>25</v>
      </c>
      <c r="E306" t="s">
        <v>31</v>
      </c>
      <c r="F306" t="s">
        <v>43</v>
      </c>
      <c r="G306" t="s">
        <v>49</v>
      </c>
      <c r="H306">
        <v>3682.18</v>
      </c>
      <c r="I306">
        <v>3968.76</v>
      </c>
      <c r="J306">
        <v>286.58000000000038</v>
      </c>
      <c r="K306" s="1">
        <v>7.7828894839470202</v>
      </c>
      <c r="L306" t="s">
        <v>55</v>
      </c>
    </row>
    <row r="307" spans="1:12" x14ac:dyDescent="0.3">
      <c r="A307" t="s">
        <v>14</v>
      </c>
      <c r="B307" s="7">
        <v>45778</v>
      </c>
      <c r="C307" t="s">
        <v>21</v>
      </c>
      <c r="D307" t="s">
        <v>25</v>
      </c>
      <c r="E307" t="s">
        <v>31</v>
      </c>
      <c r="F307" t="s">
        <v>43</v>
      </c>
      <c r="G307" t="s">
        <v>51</v>
      </c>
      <c r="H307">
        <v>4641.5200000000004</v>
      </c>
      <c r="I307">
        <v>5169.75</v>
      </c>
      <c r="J307">
        <v>528.22999999999956</v>
      </c>
      <c r="K307" s="1">
        <v>11.380539133732043</v>
      </c>
      <c r="L307" t="s">
        <v>55</v>
      </c>
    </row>
    <row r="308" spans="1:12" x14ac:dyDescent="0.3">
      <c r="A308" t="s">
        <v>14</v>
      </c>
      <c r="B308" s="7">
        <v>45778</v>
      </c>
      <c r="C308" t="s">
        <v>22</v>
      </c>
      <c r="D308" t="s">
        <v>26</v>
      </c>
      <c r="E308" t="s">
        <v>32</v>
      </c>
      <c r="F308" t="s">
        <v>41</v>
      </c>
      <c r="G308" t="s">
        <v>45</v>
      </c>
      <c r="H308">
        <v>7323.81</v>
      </c>
      <c r="I308">
        <v>6422.84</v>
      </c>
      <c r="J308">
        <v>-900.97000000000025</v>
      </c>
      <c r="K308" s="1">
        <v>-12.301930279458372</v>
      </c>
      <c r="L308" t="s">
        <v>55</v>
      </c>
    </row>
    <row r="309" spans="1:12" x14ac:dyDescent="0.3">
      <c r="A309" t="s">
        <v>14</v>
      </c>
      <c r="B309" s="7">
        <v>45778</v>
      </c>
      <c r="C309" t="s">
        <v>22</v>
      </c>
      <c r="D309" t="s">
        <v>26</v>
      </c>
      <c r="E309" t="s">
        <v>32</v>
      </c>
      <c r="F309" t="s">
        <v>41</v>
      </c>
      <c r="G309" t="s">
        <v>46</v>
      </c>
      <c r="H309">
        <v>11467.32</v>
      </c>
      <c r="I309">
        <v>13232.01</v>
      </c>
      <c r="J309">
        <v>1764.6900000000005</v>
      </c>
      <c r="K309" s="1">
        <v>15.388861564864332</v>
      </c>
      <c r="L309" t="s">
        <v>55</v>
      </c>
    </row>
    <row r="310" spans="1:12" x14ac:dyDescent="0.3">
      <c r="A310" t="s">
        <v>14</v>
      </c>
      <c r="B310" s="7">
        <v>45778</v>
      </c>
      <c r="C310" t="s">
        <v>22</v>
      </c>
      <c r="D310" t="s">
        <v>26</v>
      </c>
      <c r="E310" t="s">
        <v>32</v>
      </c>
      <c r="F310" t="s">
        <v>41</v>
      </c>
      <c r="G310" t="s">
        <v>47</v>
      </c>
      <c r="H310">
        <v>14159.64</v>
      </c>
      <c r="I310">
        <v>13329.46</v>
      </c>
      <c r="J310">
        <v>-830.18000000000029</v>
      </c>
      <c r="K310" s="1">
        <v>-5.8630021667217553</v>
      </c>
      <c r="L310" t="s">
        <v>55</v>
      </c>
    </row>
    <row r="311" spans="1:12" x14ac:dyDescent="0.3">
      <c r="A311" t="s">
        <v>14</v>
      </c>
      <c r="B311" s="7">
        <v>45778</v>
      </c>
      <c r="C311" t="s">
        <v>22</v>
      </c>
      <c r="D311" t="s">
        <v>26</v>
      </c>
      <c r="E311" t="s">
        <v>32</v>
      </c>
      <c r="F311" t="s">
        <v>41</v>
      </c>
      <c r="G311" t="s">
        <v>48</v>
      </c>
      <c r="H311">
        <v>8636.0499999999993</v>
      </c>
      <c r="I311">
        <v>9473.1</v>
      </c>
      <c r="J311">
        <v>837.05000000000109</v>
      </c>
      <c r="K311" s="1">
        <v>9.6925098858853431</v>
      </c>
      <c r="L311" t="s">
        <v>55</v>
      </c>
    </row>
    <row r="312" spans="1:12" x14ac:dyDescent="0.3">
      <c r="A312" t="s">
        <v>14</v>
      </c>
      <c r="B312" s="7">
        <v>45778</v>
      </c>
      <c r="C312" t="s">
        <v>22</v>
      </c>
      <c r="D312" t="s">
        <v>26</v>
      </c>
      <c r="E312" t="s">
        <v>32</v>
      </c>
      <c r="F312" t="s">
        <v>41</v>
      </c>
      <c r="G312" t="s">
        <v>49</v>
      </c>
      <c r="H312">
        <v>3012.49</v>
      </c>
      <c r="I312">
        <v>2768.74</v>
      </c>
      <c r="J312">
        <v>-243.75</v>
      </c>
      <c r="K312" s="1">
        <v>-8.0913131661847846</v>
      </c>
      <c r="L312" t="s">
        <v>55</v>
      </c>
    </row>
    <row r="313" spans="1:12" x14ac:dyDescent="0.3">
      <c r="A313" t="s">
        <v>14</v>
      </c>
      <c r="B313" s="7">
        <v>45778</v>
      </c>
      <c r="C313" t="s">
        <v>22</v>
      </c>
      <c r="D313" t="s">
        <v>26</v>
      </c>
      <c r="E313" t="s">
        <v>32</v>
      </c>
      <c r="F313" t="s">
        <v>41</v>
      </c>
      <c r="G313" t="s">
        <v>51</v>
      </c>
      <c r="H313">
        <v>5833.7</v>
      </c>
      <c r="I313">
        <v>5891.41</v>
      </c>
      <c r="J313">
        <v>57.710000000000036</v>
      </c>
      <c r="K313" s="1">
        <v>0.98925210415345388</v>
      </c>
      <c r="L313" t="s">
        <v>55</v>
      </c>
    </row>
    <row r="314" spans="1:12" x14ac:dyDescent="0.3">
      <c r="A314" t="s">
        <v>14</v>
      </c>
      <c r="B314" s="7">
        <v>45778</v>
      </c>
      <c r="C314" t="s">
        <v>22</v>
      </c>
      <c r="D314" t="s">
        <v>26</v>
      </c>
      <c r="E314" t="s">
        <v>33</v>
      </c>
      <c r="F314" t="s">
        <v>42</v>
      </c>
      <c r="G314" t="s">
        <v>45</v>
      </c>
      <c r="H314">
        <v>7286.19</v>
      </c>
      <c r="I314">
        <v>7080.3</v>
      </c>
      <c r="J314">
        <v>-205.88999999999942</v>
      </c>
      <c r="K314" s="1">
        <v>-2.8257566711820505</v>
      </c>
      <c r="L314" t="s">
        <v>55</v>
      </c>
    </row>
    <row r="315" spans="1:12" x14ac:dyDescent="0.3">
      <c r="A315" t="s">
        <v>14</v>
      </c>
      <c r="B315" s="7">
        <v>45778</v>
      </c>
      <c r="C315" t="s">
        <v>22</v>
      </c>
      <c r="D315" t="s">
        <v>26</v>
      </c>
      <c r="E315" t="s">
        <v>33</v>
      </c>
      <c r="F315" t="s">
        <v>42</v>
      </c>
      <c r="G315" t="s">
        <v>46</v>
      </c>
      <c r="H315">
        <v>9247.69</v>
      </c>
      <c r="I315">
        <v>10141.620000000001</v>
      </c>
      <c r="J315">
        <v>893.93000000000029</v>
      </c>
      <c r="K315" s="1">
        <v>9.666522126066079</v>
      </c>
      <c r="L315" t="s">
        <v>55</v>
      </c>
    </row>
    <row r="316" spans="1:12" x14ac:dyDescent="0.3">
      <c r="A316" t="s">
        <v>14</v>
      </c>
      <c r="B316" s="7">
        <v>45778</v>
      </c>
      <c r="C316" t="s">
        <v>22</v>
      </c>
      <c r="D316" t="s">
        <v>26</v>
      </c>
      <c r="E316" t="s">
        <v>33</v>
      </c>
      <c r="F316" t="s">
        <v>42</v>
      </c>
      <c r="G316" t="s">
        <v>47</v>
      </c>
      <c r="H316">
        <v>13896.18</v>
      </c>
      <c r="I316">
        <v>12969.36</v>
      </c>
      <c r="J316">
        <v>-926.81999999999971</v>
      </c>
      <c r="K316" s="1">
        <v>-6.6696027253532968</v>
      </c>
      <c r="L316" t="s">
        <v>55</v>
      </c>
    </row>
    <row r="317" spans="1:12" x14ac:dyDescent="0.3">
      <c r="A317" t="s">
        <v>14</v>
      </c>
      <c r="B317" s="7">
        <v>45778</v>
      </c>
      <c r="C317" t="s">
        <v>22</v>
      </c>
      <c r="D317" t="s">
        <v>26</v>
      </c>
      <c r="E317" t="s">
        <v>33</v>
      </c>
      <c r="F317" t="s">
        <v>42</v>
      </c>
      <c r="G317" t="s">
        <v>48</v>
      </c>
      <c r="H317">
        <v>8246.07</v>
      </c>
      <c r="I317">
        <v>9445.2000000000007</v>
      </c>
      <c r="J317">
        <v>1199.130000000001</v>
      </c>
      <c r="K317" s="1">
        <v>14.541836292925007</v>
      </c>
      <c r="L317" t="s">
        <v>55</v>
      </c>
    </row>
    <row r="318" spans="1:12" x14ac:dyDescent="0.3">
      <c r="A318" t="s">
        <v>14</v>
      </c>
      <c r="B318" s="7">
        <v>45778</v>
      </c>
      <c r="C318" t="s">
        <v>22</v>
      </c>
      <c r="D318" t="s">
        <v>26</v>
      </c>
      <c r="E318" t="s">
        <v>33</v>
      </c>
      <c r="F318" t="s">
        <v>42</v>
      </c>
      <c r="G318" t="s">
        <v>49</v>
      </c>
      <c r="H318">
        <v>3699.52</v>
      </c>
      <c r="I318">
        <v>3794.22</v>
      </c>
      <c r="J318">
        <v>94.699999999999818</v>
      </c>
      <c r="K318" s="1">
        <v>2.5597915405241709</v>
      </c>
      <c r="L318" t="s">
        <v>55</v>
      </c>
    </row>
    <row r="319" spans="1:12" x14ac:dyDescent="0.3">
      <c r="A319" t="s">
        <v>14</v>
      </c>
      <c r="B319" s="7">
        <v>45778</v>
      </c>
      <c r="C319" t="s">
        <v>22</v>
      </c>
      <c r="D319" t="s">
        <v>26</v>
      </c>
      <c r="E319" t="s">
        <v>33</v>
      </c>
      <c r="F319" t="s">
        <v>42</v>
      </c>
      <c r="G319" t="s">
        <v>51</v>
      </c>
      <c r="H319">
        <v>4885.82</v>
      </c>
      <c r="I319">
        <v>4874.32</v>
      </c>
      <c r="J319">
        <v>-11.5</v>
      </c>
      <c r="K319" s="1">
        <v>-0.23537502404918725</v>
      </c>
      <c r="L319" t="s">
        <v>55</v>
      </c>
    </row>
    <row r="320" spans="1:12" x14ac:dyDescent="0.3">
      <c r="A320" t="s">
        <v>14</v>
      </c>
      <c r="B320" s="7">
        <v>45778</v>
      </c>
      <c r="C320" t="s">
        <v>22</v>
      </c>
      <c r="D320" t="s">
        <v>26</v>
      </c>
      <c r="E320" t="s">
        <v>34</v>
      </c>
      <c r="F320" t="s">
        <v>43</v>
      </c>
      <c r="G320" t="s">
        <v>45</v>
      </c>
      <c r="H320">
        <v>6952.21</v>
      </c>
      <c r="I320">
        <v>6465.66</v>
      </c>
      <c r="J320">
        <v>-486.55000000000018</v>
      </c>
      <c r="K320" s="1">
        <v>-6.9984940040648969</v>
      </c>
      <c r="L320" t="s">
        <v>55</v>
      </c>
    </row>
    <row r="321" spans="1:12" x14ac:dyDescent="0.3">
      <c r="A321" t="s">
        <v>14</v>
      </c>
      <c r="B321" s="7">
        <v>45778</v>
      </c>
      <c r="C321" t="s">
        <v>22</v>
      </c>
      <c r="D321" t="s">
        <v>26</v>
      </c>
      <c r="E321" t="s">
        <v>34</v>
      </c>
      <c r="F321" t="s">
        <v>43</v>
      </c>
      <c r="G321" t="s">
        <v>46</v>
      </c>
      <c r="H321">
        <v>8203.91</v>
      </c>
      <c r="I321">
        <v>7994.74</v>
      </c>
      <c r="J321">
        <v>-209.17000000000007</v>
      </c>
      <c r="K321" s="1">
        <v>-2.5496379165544245</v>
      </c>
      <c r="L321" t="s">
        <v>55</v>
      </c>
    </row>
    <row r="322" spans="1:12" x14ac:dyDescent="0.3">
      <c r="A322" t="s">
        <v>14</v>
      </c>
      <c r="B322" s="7">
        <v>45778</v>
      </c>
      <c r="C322" t="s">
        <v>22</v>
      </c>
      <c r="D322" t="s">
        <v>26</v>
      </c>
      <c r="E322" t="s">
        <v>34</v>
      </c>
      <c r="F322" t="s">
        <v>43</v>
      </c>
      <c r="G322" t="s">
        <v>47</v>
      </c>
      <c r="H322">
        <v>13716.77</v>
      </c>
      <c r="I322">
        <v>13117.16</v>
      </c>
      <c r="J322">
        <v>-599.61000000000058</v>
      </c>
      <c r="K322" s="1">
        <v>-4.3713643955537682</v>
      </c>
      <c r="L322" t="s">
        <v>55</v>
      </c>
    </row>
    <row r="323" spans="1:12" x14ac:dyDescent="0.3">
      <c r="A323" t="s">
        <v>14</v>
      </c>
      <c r="B323" s="7">
        <v>45778</v>
      </c>
      <c r="C323" t="s">
        <v>22</v>
      </c>
      <c r="D323" t="s">
        <v>26</v>
      </c>
      <c r="E323" t="s">
        <v>34</v>
      </c>
      <c r="F323" t="s">
        <v>43</v>
      </c>
      <c r="G323" t="s">
        <v>48</v>
      </c>
      <c r="H323">
        <v>6138.08</v>
      </c>
      <c r="I323">
        <v>5880.74</v>
      </c>
      <c r="J323">
        <v>-257.34000000000015</v>
      </c>
      <c r="K323" s="1">
        <v>-4.1925162265724811</v>
      </c>
      <c r="L323" t="s">
        <v>55</v>
      </c>
    </row>
    <row r="324" spans="1:12" x14ac:dyDescent="0.3">
      <c r="A324" t="s">
        <v>14</v>
      </c>
      <c r="B324" s="7">
        <v>45778</v>
      </c>
      <c r="C324" t="s">
        <v>22</v>
      </c>
      <c r="D324" t="s">
        <v>26</v>
      </c>
      <c r="E324" t="s">
        <v>34</v>
      </c>
      <c r="F324" t="s">
        <v>43</v>
      </c>
      <c r="G324" t="s">
        <v>49</v>
      </c>
      <c r="H324">
        <v>2876.5</v>
      </c>
      <c r="I324">
        <v>3290.35</v>
      </c>
      <c r="J324">
        <v>413.84999999999991</v>
      </c>
      <c r="K324" s="1">
        <v>14.387276203719795</v>
      </c>
      <c r="L324" t="s">
        <v>55</v>
      </c>
    </row>
    <row r="325" spans="1:12" x14ac:dyDescent="0.3">
      <c r="A325" t="s">
        <v>14</v>
      </c>
      <c r="B325" s="7">
        <v>45778</v>
      </c>
      <c r="C325" t="s">
        <v>22</v>
      </c>
      <c r="D325" t="s">
        <v>26</v>
      </c>
      <c r="E325" t="s">
        <v>34</v>
      </c>
      <c r="F325" t="s">
        <v>43</v>
      </c>
      <c r="G325" t="s">
        <v>51</v>
      </c>
      <c r="H325">
        <v>6636.93</v>
      </c>
      <c r="I325">
        <v>7128.75</v>
      </c>
      <c r="J325">
        <v>491.81999999999971</v>
      </c>
      <c r="K325" s="1">
        <v>7.4103538834973355</v>
      </c>
      <c r="L325" t="s">
        <v>55</v>
      </c>
    </row>
    <row r="326" spans="1:12" x14ac:dyDescent="0.3">
      <c r="A326" t="s">
        <v>14</v>
      </c>
      <c r="B326" s="7">
        <v>45778</v>
      </c>
      <c r="C326" t="s">
        <v>23</v>
      </c>
      <c r="D326" t="s">
        <v>27</v>
      </c>
      <c r="E326" t="s">
        <v>35</v>
      </c>
      <c r="F326" t="s">
        <v>41</v>
      </c>
      <c r="G326" t="s">
        <v>45</v>
      </c>
      <c r="H326">
        <v>7952.77</v>
      </c>
      <c r="I326">
        <v>8067.97</v>
      </c>
      <c r="J326">
        <v>115.19999999999982</v>
      </c>
      <c r="K326" s="1">
        <v>1.4485518882100175</v>
      </c>
      <c r="L326" t="s">
        <v>55</v>
      </c>
    </row>
    <row r="327" spans="1:12" x14ac:dyDescent="0.3">
      <c r="A327" t="s">
        <v>14</v>
      </c>
      <c r="B327" s="7">
        <v>45778</v>
      </c>
      <c r="C327" t="s">
        <v>23</v>
      </c>
      <c r="D327" t="s">
        <v>27</v>
      </c>
      <c r="E327" t="s">
        <v>35</v>
      </c>
      <c r="F327" t="s">
        <v>41</v>
      </c>
      <c r="G327" t="s">
        <v>46</v>
      </c>
      <c r="H327">
        <v>7219.37</v>
      </c>
      <c r="I327">
        <v>7416.06</v>
      </c>
      <c r="J327">
        <v>196.69000000000051</v>
      </c>
      <c r="K327" s="1">
        <v>2.7244759584285125</v>
      </c>
      <c r="L327" t="s">
        <v>55</v>
      </c>
    </row>
    <row r="328" spans="1:12" x14ac:dyDescent="0.3">
      <c r="A328" t="s">
        <v>14</v>
      </c>
      <c r="B328" s="7">
        <v>45778</v>
      </c>
      <c r="C328" t="s">
        <v>23</v>
      </c>
      <c r="D328" t="s">
        <v>27</v>
      </c>
      <c r="E328" t="s">
        <v>35</v>
      </c>
      <c r="F328" t="s">
        <v>41</v>
      </c>
      <c r="G328" t="s">
        <v>47</v>
      </c>
      <c r="H328">
        <v>19837.88</v>
      </c>
      <c r="I328">
        <v>21742.22</v>
      </c>
      <c r="J328">
        <v>1904.3400000000001</v>
      </c>
      <c r="K328" s="1">
        <v>9.5995136577093927</v>
      </c>
      <c r="L328" t="s">
        <v>55</v>
      </c>
    </row>
    <row r="329" spans="1:12" x14ac:dyDescent="0.3">
      <c r="A329" t="s">
        <v>14</v>
      </c>
      <c r="B329" s="7">
        <v>45778</v>
      </c>
      <c r="C329" t="s">
        <v>23</v>
      </c>
      <c r="D329" t="s">
        <v>27</v>
      </c>
      <c r="E329" t="s">
        <v>35</v>
      </c>
      <c r="F329" t="s">
        <v>41</v>
      </c>
      <c r="G329" t="s">
        <v>48</v>
      </c>
      <c r="H329">
        <v>7062.97</v>
      </c>
      <c r="I329">
        <v>6300.89</v>
      </c>
      <c r="J329">
        <v>-762.07999999999993</v>
      </c>
      <c r="K329" s="1">
        <v>-10.789795227786609</v>
      </c>
      <c r="L329" t="s">
        <v>55</v>
      </c>
    </row>
    <row r="330" spans="1:12" x14ac:dyDescent="0.3">
      <c r="A330" t="s">
        <v>14</v>
      </c>
      <c r="B330" s="7">
        <v>45778</v>
      </c>
      <c r="C330" t="s">
        <v>23</v>
      </c>
      <c r="D330" t="s">
        <v>27</v>
      </c>
      <c r="E330" t="s">
        <v>35</v>
      </c>
      <c r="F330" t="s">
        <v>41</v>
      </c>
      <c r="G330" t="s">
        <v>49</v>
      </c>
      <c r="H330">
        <v>3220.93</v>
      </c>
      <c r="I330">
        <v>3123.71</v>
      </c>
      <c r="J330">
        <v>-97.2199999999998</v>
      </c>
      <c r="K330" s="1">
        <v>-3.0183828894139211</v>
      </c>
      <c r="L330" t="s">
        <v>55</v>
      </c>
    </row>
    <row r="331" spans="1:12" x14ac:dyDescent="0.3">
      <c r="A331" t="s">
        <v>14</v>
      </c>
      <c r="B331" s="7">
        <v>45778</v>
      </c>
      <c r="C331" t="s">
        <v>23</v>
      </c>
      <c r="D331" t="s">
        <v>27</v>
      </c>
      <c r="E331" t="s">
        <v>35</v>
      </c>
      <c r="F331" t="s">
        <v>41</v>
      </c>
      <c r="G331" t="s">
        <v>51</v>
      </c>
      <c r="H331">
        <v>6825.3</v>
      </c>
      <c r="I331">
        <v>7087.1</v>
      </c>
      <c r="J331">
        <v>261.80000000000018</v>
      </c>
      <c r="K331" s="1">
        <v>3.8357288324322765</v>
      </c>
      <c r="L331" t="s">
        <v>55</v>
      </c>
    </row>
    <row r="332" spans="1:12" x14ac:dyDescent="0.3">
      <c r="A332" t="s">
        <v>14</v>
      </c>
      <c r="B332" s="7">
        <v>45778</v>
      </c>
      <c r="C332" t="s">
        <v>23</v>
      </c>
      <c r="D332" t="s">
        <v>27</v>
      </c>
      <c r="E332" t="s">
        <v>36</v>
      </c>
      <c r="F332" t="s">
        <v>44</v>
      </c>
      <c r="G332" t="s">
        <v>45</v>
      </c>
      <c r="H332">
        <v>6263.78</v>
      </c>
      <c r="I332">
        <v>7363.38</v>
      </c>
      <c r="J332">
        <v>1099.6000000000004</v>
      </c>
      <c r="K332" s="1">
        <v>17.554894967575496</v>
      </c>
      <c r="L332" t="s">
        <v>55</v>
      </c>
    </row>
    <row r="333" spans="1:12" x14ac:dyDescent="0.3">
      <c r="A333" t="s">
        <v>14</v>
      </c>
      <c r="B333" s="7">
        <v>45778</v>
      </c>
      <c r="C333" t="s">
        <v>23</v>
      </c>
      <c r="D333" t="s">
        <v>27</v>
      </c>
      <c r="E333" t="s">
        <v>36</v>
      </c>
      <c r="F333" t="s">
        <v>44</v>
      </c>
      <c r="G333" t="s">
        <v>46</v>
      </c>
      <c r="H333">
        <v>10021.18</v>
      </c>
      <c r="I333">
        <v>9302.51</v>
      </c>
      <c r="J333">
        <v>-718.67000000000007</v>
      </c>
      <c r="K333" s="1">
        <v>-7.1715107402521463</v>
      </c>
      <c r="L333" t="s">
        <v>55</v>
      </c>
    </row>
    <row r="334" spans="1:12" x14ac:dyDescent="0.3">
      <c r="A334" t="s">
        <v>14</v>
      </c>
      <c r="B334" s="7">
        <v>45778</v>
      </c>
      <c r="C334" t="s">
        <v>23</v>
      </c>
      <c r="D334" t="s">
        <v>27</v>
      </c>
      <c r="E334" t="s">
        <v>36</v>
      </c>
      <c r="F334" t="s">
        <v>44</v>
      </c>
      <c r="G334" t="s">
        <v>47</v>
      </c>
      <c r="H334">
        <v>14599.25</v>
      </c>
      <c r="I334">
        <v>13145.8</v>
      </c>
      <c r="J334">
        <v>-1453.4500000000007</v>
      </c>
      <c r="K334" s="1">
        <v>-9.9556484065962341</v>
      </c>
      <c r="L334" t="s">
        <v>55</v>
      </c>
    </row>
    <row r="335" spans="1:12" x14ac:dyDescent="0.3">
      <c r="A335" t="s">
        <v>14</v>
      </c>
      <c r="B335" s="7">
        <v>45778</v>
      </c>
      <c r="C335" t="s">
        <v>23</v>
      </c>
      <c r="D335" t="s">
        <v>27</v>
      </c>
      <c r="E335" t="s">
        <v>36</v>
      </c>
      <c r="F335" t="s">
        <v>44</v>
      </c>
      <c r="G335" t="s">
        <v>48</v>
      </c>
      <c r="H335">
        <v>6283.02</v>
      </c>
      <c r="I335">
        <v>5673.73</v>
      </c>
      <c r="J335">
        <v>-609.29000000000087</v>
      </c>
      <c r="K335" s="1">
        <v>-9.6974066611279426</v>
      </c>
      <c r="L335" t="s">
        <v>55</v>
      </c>
    </row>
    <row r="336" spans="1:12" x14ac:dyDescent="0.3">
      <c r="A336" t="s">
        <v>14</v>
      </c>
      <c r="B336" s="7">
        <v>45778</v>
      </c>
      <c r="C336" t="s">
        <v>23</v>
      </c>
      <c r="D336" t="s">
        <v>27</v>
      </c>
      <c r="E336" t="s">
        <v>36</v>
      </c>
      <c r="F336" t="s">
        <v>44</v>
      </c>
      <c r="G336" t="s">
        <v>49</v>
      </c>
      <c r="H336">
        <v>3016.79</v>
      </c>
      <c r="I336">
        <v>2848.1</v>
      </c>
      <c r="J336">
        <v>-168.69000000000005</v>
      </c>
      <c r="K336" s="1">
        <v>-5.5917050905101133</v>
      </c>
      <c r="L336" t="s">
        <v>55</v>
      </c>
    </row>
    <row r="337" spans="1:12" x14ac:dyDescent="0.3">
      <c r="A337" t="s">
        <v>14</v>
      </c>
      <c r="B337" s="7">
        <v>45778</v>
      </c>
      <c r="C337" t="s">
        <v>23</v>
      </c>
      <c r="D337" t="s">
        <v>27</v>
      </c>
      <c r="E337" t="s">
        <v>36</v>
      </c>
      <c r="F337" t="s">
        <v>44</v>
      </c>
      <c r="G337" t="s">
        <v>51</v>
      </c>
      <c r="H337">
        <v>5124.1400000000003</v>
      </c>
      <c r="I337">
        <v>5871.92</v>
      </c>
      <c r="J337">
        <v>747.77999999999975</v>
      </c>
      <c r="K337" s="1">
        <v>14.59327809154316</v>
      </c>
      <c r="L337" t="s">
        <v>55</v>
      </c>
    </row>
    <row r="338" spans="1:12" x14ac:dyDescent="0.3">
      <c r="A338" t="s">
        <v>14</v>
      </c>
      <c r="B338" s="7">
        <v>45778</v>
      </c>
      <c r="C338" t="s">
        <v>23</v>
      </c>
      <c r="D338" t="s">
        <v>27</v>
      </c>
      <c r="E338" t="s">
        <v>37</v>
      </c>
      <c r="F338" t="s">
        <v>43</v>
      </c>
      <c r="G338" t="s">
        <v>45</v>
      </c>
      <c r="H338">
        <v>5187.91</v>
      </c>
      <c r="I338">
        <v>5307.69</v>
      </c>
      <c r="J338">
        <v>119.77999999999975</v>
      </c>
      <c r="K338" s="1">
        <v>2.3088295672052861</v>
      </c>
      <c r="L338" t="s">
        <v>55</v>
      </c>
    </row>
    <row r="339" spans="1:12" x14ac:dyDescent="0.3">
      <c r="A339" t="s">
        <v>14</v>
      </c>
      <c r="B339" s="7">
        <v>45778</v>
      </c>
      <c r="C339" t="s">
        <v>23</v>
      </c>
      <c r="D339" t="s">
        <v>27</v>
      </c>
      <c r="E339" t="s">
        <v>37</v>
      </c>
      <c r="F339" t="s">
        <v>43</v>
      </c>
      <c r="G339" t="s">
        <v>46</v>
      </c>
      <c r="H339">
        <v>8966.14</v>
      </c>
      <c r="I339">
        <v>10527.91</v>
      </c>
      <c r="J339">
        <v>1561.7700000000004</v>
      </c>
      <c r="K339" s="1">
        <v>17.418532389634787</v>
      </c>
      <c r="L339" t="s">
        <v>55</v>
      </c>
    </row>
    <row r="340" spans="1:12" x14ac:dyDescent="0.3">
      <c r="A340" t="s">
        <v>14</v>
      </c>
      <c r="B340" s="7">
        <v>45778</v>
      </c>
      <c r="C340" t="s">
        <v>23</v>
      </c>
      <c r="D340" t="s">
        <v>27</v>
      </c>
      <c r="E340" t="s">
        <v>37</v>
      </c>
      <c r="F340" t="s">
        <v>43</v>
      </c>
      <c r="G340" t="s">
        <v>47</v>
      </c>
      <c r="H340">
        <v>14710.02</v>
      </c>
      <c r="I340">
        <v>14434.83</v>
      </c>
      <c r="J340">
        <v>-275.19000000000051</v>
      </c>
      <c r="K340" s="1">
        <v>-1.8707656413791449</v>
      </c>
      <c r="L340" t="s">
        <v>55</v>
      </c>
    </row>
    <row r="341" spans="1:12" x14ac:dyDescent="0.3">
      <c r="A341" t="s">
        <v>14</v>
      </c>
      <c r="B341" s="7">
        <v>45778</v>
      </c>
      <c r="C341" t="s">
        <v>23</v>
      </c>
      <c r="D341" t="s">
        <v>27</v>
      </c>
      <c r="E341" t="s">
        <v>37</v>
      </c>
      <c r="F341" t="s">
        <v>43</v>
      </c>
      <c r="G341" t="s">
        <v>48</v>
      </c>
      <c r="H341">
        <v>9321.7800000000007</v>
      </c>
      <c r="I341">
        <v>10585.97</v>
      </c>
      <c r="J341">
        <v>1264.1899999999987</v>
      </c>
      <c r="K341" s="1">
        <v>13.56168027994652</v>
      </c>
      <c r="L341" t="s">
        <v>55</v>
      </c>
    </row>
    <row r="342" spans="1:12" x14ac:dyDescent="0.3">
      <c r="A342" t="s">
        <v>14</v>
      </c>
      <c r="B342" s="7">
        <v>45778</v>
      </c>
      <c r="C342" t="s">
        <v>23</v>
      </c>
      <c r="D342" t="s">
        <v>27</v>
      </c>
      <c r="E342" t="s">
        <v>37</v>
      </c>
      <c r="F342" t="s">
        <v>43</v>
      </c>
      <c r="G342" t="s">
        <v>49</v>
      </c>
      <c r="H342">
        <v>4340.8500000000004</v>
      </c>
      <c r="I342">
        <v>4059.16</v>
      </c>
      <c r="J342">
        <v>-281.69000000000051</v>
      </c>
      <c r="K342" s="1">
        <v>-6.4892820530541364</v>
      </c>
      <c r="L342" t="s">
        <v>55</v>
      </c>
    </row>
    <row r="343" spans="1:12" x14ac:dyDescent="0.3">
      <c r="A343" t="s">
        <v>14</v>
      </c>
      <c r="B343" s="7">
        <v>45778</v>
      </c>
      <c r="C343" t="s">
        <v>23</v>
      </c>
      <c r="D343" t="s">
        <v>27</v>
      </c>
      <c r="E343" t="s">
        <v>37</v>
      </c>
      <c r="F343" t="s">
        <v>43</v>
      </c>
      <c r="G343" t="s">
        <v>51</v>
      </c>
      <c r="H343">
        <v>5115.2</v>
      </c>
      <c r="I343">
        <v>5476.6</v>
      </c>
      <c r="J343">
        <v>361.40000000000055</v>
      </c>
      <c r="K343" s="1">
        <v>7.0652173913043583</v>
      </c>
      <c r="L343" t="s">
        <v>55</v>
      </c>
    </row>
    <row r="344" spans="1:12" x14ac:dyDescent="0.3">
      <c r="A344" t="s">
        <v>14</v>
      </c>
      <c r="B344" s="7">
        <v>45778</v>
      </c>
      <c r="C344" t="s">
        <v>24</v>
      </c>
      <c r="D344" t="s">
        <v>28</v>
      </c>
      <c r="E344" t="s">
        <v>38</v>
      </c>
      <c r="F344" t="s">
        <v>41</v>
      </c>
      <c r="G344" t="s">
        <v>45</v>
      </c>
      <c r="H344">
        <v>8499.57</v>
      </c>
      <c r="I344">
        <v>8786.27</v>
      </c>
      <c r="J344">
        <v>286.70000000000073</v>
      </c>
      <c r="K344" s="1">
        <v>3.3731118162448301</v>
      </c>
      <c r="L344" t="s">
        <v>55</v>
      </c>
    </row>
    <row r="345" spans="1:12" x14ac:dyDescent="0.3">
      <c r="A345" t="s">
        <v>14</v>
      </c>
      <c r="B345" s="7">
        <v>45778</v>
      </c>
      <c r="C345" t="s">
        <v>24</v>
      </c>
      <c r="D345" t="s">
        <v>28</v>
      </c>
      <c r="E345" t="s">
        <v>38</v>
      </c>
      <c r="F345" t="s">
        <v>41</v>
      </c>
      <c r="G345" t="s">
        <v>46</v>
      </c>
      <c r="H345">
        <v>9836.7099999999991</v>
      </c>
      <c r="I345">
        <v>9270.0499999999993</v>
      </c>
      <c r="J345">
        <v>-566.65999999999985</v>
      </c>
      <c r="K345" s="1">
        <v>-5.7606659137048863</v>
      </c>
      <c r="L345" t="s">
        <v>55</v>
      </c>
    </row>
    <row r="346" spans="1:12" x14ac:dyDescent="0.3">
      <c r="A346" t="s">
        <v>14</v>
      </c>
      <c r="B346" s="7">
        <v>45778</v>
      </c>
      <c r="C346" t="s">
        <v>24</v>
      </c>
      <c r="D346" t="s">
        <v>28</v>
      </c>
      <c r="E346" t="s">
        <v>38</v>
      </c>
      <c r="F346" t="s">
        <v>41</v>
      </c>
      <c r="G346" t="s">
        <v>47</v>
      </c>
      <c r="H346">
        <v>21810.52</v>
      </c>
      <c r="I346">
        <v>19885.189999999999</v>
      </c>
      <c r="J346">
        <v>-1925.3300000000017</v>
      </c>
      <c r="K346" s="1">
        <v>-8.8275291006358483</v>
      </c>
      <c r="L346" t="s">
        <v>55</v>
      </c>
    </row>
    <row r="347" spans="1:12" x14ac:dyDescent="0.3">
      <c r="A347" t="s">
        <v>14</v>
      </c>
      <c r="B347" s="7">
        <v>45778</v>
      </c>
      <c r="C347" t="s">
        <v>24</v>
      </c>
      <c r="D347" t="s">
        <v>28</v>
      </c>
      <c r="E347" t="s">
        <v>38</v>
      </c>
      <c r="F347" t="s">
        <v>41</v>
      </c>
      <c r="G347" t="s">
        <v>48</v>
      </c>
      <c r="H347">
        <v>6609.45</v>
      </c>
      <c r="I347">
        <v>6545.96</v>
      </c>
      <c r="J347">
        <v>-63.489999999999782</v>
      </c>
      <c r="K347" s="1">
        <v>-0.96059430058476547</v>
      </c>
      <c r="L347" t="s">
        <v>55</v>
      </c>
    </row>
    <row r="348" spans="1:12" x14ac:dyDescent="0.3">
      <c r="A348" t="s">
        <v>14</v>
      </c>
      <c r="B348" s="7">
        <v>45778</v>
      </c>
      <c r="C348" t="s">
        <v>24</v>
      </c>
      <c r="D348" t="s">
        <v>28</v>
      </c>
      <c r="E348" t="s">
        <v>38</v>
      </c>
      <c r="F348" t="s">
        <v>41</v>
      </c>
      <c r="G348" t="s">
        <v>49</v>
      </c>
      <c r="H348">
        <v>3690.98</v>
      </c>
      <c r="I348">
        <v>3432.6</v>
      </c>
      <c r="J348">
        <v>-258.38000000000011</v>
      </c>
      <c r="K348" s="1">
        <v>-7.0003088610612929</v>
      </c>
      <c r="L348" t="s">
        <v>55</v>
      </c>
    </row>
    <row r="349" spans="1:12" x14ac:dyDescent="0.3">
      <c r="A349" t="s">
        <v>14</v>
      </c>
      <c r="B349" s="7">
        <v>45778</v>
      </c>
      <c r="C349" t="s">
        <v>24</v>
      </c>
      <c r="D349" t="s">
        <v>28</v>
      </c>
      <c r="E349" t="s">
        <v>38</v>
      </c>
      <c r="F349" t="s">
        <v>41</v>
      </c>
      <c r="G349" t="s">
        <v>51</v>
      </c>
      <c r="H349">
        <v>4913.41</v>
      </c>
      <c r="I349">
        <v>5166.4799999999996</v>
      </c>
      <c r="J349">
        <v>253.06999999999971</v>
      </c>
      <c r="K349" s="1">
        <v>5.1505980571537835</v>
      </c>
      <c r="L349" t="s">
        <v>55</v>
      </c>
    </row>
    <row r="350" spans="1:12" x14ac:dyDescent="0.3">
      <c r="A350" t="s">
        <v>14</v>
      </c>
      <c r="B350" s="7">
        <v>45778</v>
      </c>
      <c r="C350" t="s">
        <v>24</v>
      </c>
      <c r="D350" t="s">
        <v>28</v>
      </c>
      <c r="E350" t="s">
        <v>39</v>
      </c>
      <c r="F350" t="s">
        <v>44</v>
      </c>
      <c r="G350" t="s">
        <v>45</v>
      </c>
      <c r="H350">
        <v>6000.66</v>
      </c>
      <c r="I350">
        <v>6251.54</v>
      </c>
      <c r="J350">
        <v>250.88000000000011</v>
      </c>
      <c r="K350" s="1">
        <v>4.1808734372552374</v>
      </c>
      <c r="L350" t="s">
        <v>55</v>
      </c>
    </row>
    <row r="351" spans="1:12" x14ac:dyDescent="0.3">
      <c r="A351" t="s">
        <v>14</v>
      </c>
      <c r="B351" s="7">
        <v>45778</v>
      </c>
      <c r="C351" t="s">
        <v>24</v>
      </c>
      <c r="D351" t="s">
        <v>28</v>
      </c>
      <c r="E351" t="s">
        <v>39</v>
      </c>
      <c r="F351" t="s">
        <v>44</v>
      </c>
      <c r="G351" t="s">
        <v>46</v>
      </c>
      <c r="H351">
        <v>7583.56</v>
      </c>
      <c r="I351">
        <v>7650.11</v>
      </c>
      <c r="J351">
        <v>66.549999999999272</v>
      </c>
      <c r="K351" s="1">
        <v>0.87755618733153384</v>
      </c>
      <c r="L351" t="s">
        <v>55</v>
      </c>
    </row>
    <row r="352" spans="1:12" x14ac:dyDescent="0.3">
      <c r="A352" t="s">
        <v>14</v>
      </c>
      <c r="B352" s="7">
        <v>45778</v>
      </c>
      <c r="C352" t="s">
        <v>24</v>
      </c>
      <c r="D352" t="s">
        <v>28</v>
      </c>
      <c r="E352" t="s">
        <v>39</v>
      </c>
      <c r="F352" t="s">
        <v>44</v>
      </c>
      <c r="G352" t="s">
        <v>47</v>
      </c>
      <c r="H352">
        <v>19251.97</v>
      </c>
      <c r="I352">
        <v>16693.41</v>
      </c>
      <c r="J352">
        <v>-2558.5600000000013</v>
      </c>
      <c r="K352" s="1">
        <v>-13.289860725941299</v>
      </c>
      <c r="L352" t="s">
        <v>55</v>
      </c>
    </row>
    <row r="353" spans="1:12" x14ac:dyDescent="0.3">
      <c r="A353" t="s">
        <v>14</v>
      </c>
      <c r="B353" s="7">
        <v>45778</v>
      </c>
      <c r="C353" t="s">
        <v>24</v>
      </c>
      <c r="D353" t="s">
        <v>28</v>
      </c>
      <c r="E353" t="s">
        <v>39</v>
      </c>
      <c r="F353" t="s">
        <v>44</v>
      </c>
      <c r="G353" t="s">
        <v>48</v>
      </c>
      <c r="H353">
        <v>6663.74</v>
      </c>
      <c r="I353">
        <v>5959.76</v>
      </c>
      <c r="J353">
        <v>-703.97999999999956</v>
      </c>
      <c r="K353" s="1">
        <v>-10.564337744269729</v>
      </c>
      <c r="L353" t="s">
        <v>55</v>
      </c>
    </row>
    <row r="354" spans="1:12" x14ac:dyDescent="0.3">
      <c r="A354" t="s">
        <v>14</v>
      </c>
      <c r="B354" s="7">
        <v>45778</v>
      </c>
      <c r="C354" t="s">
        <v>24</v>
      </c>
      <c r="D354" t="s">
        <v>28</v>
      </c>
      <c r="E354" t="s">
        <v>39</v>
      </c>
      <c r="F354" t="s">
        <v>44</v>
      </c>
      <c r="G354" t="s">
        <v>49</v>
      </c>
      <c r="H354">
        <v>2758.09</v>
      </c>
      <c r="I354">
        <v>3245.41</v>
      </c>
      <c r="J354">
        <v>487.31999999999971</v>
      </c>
      <c r="K354" s="1">
        <v>17.66874902559379</v>
      </c>
      <c r="L354" t="s">
        <v>55</v>
      </c>
    </row>
    <row r="355" spans="1:12" x14ac:dyDescent="0.3">
      <c r="A355" t="s">
        <v>14</v>
      </c>
      <c r="B355" s="7">
        <v>45778</v>
      </c>
      <c r="C355" t="s">
        <v>24</v>
      </c>
      <c r="D355" t="s">
        <v>28</v>
      </c>
      <c r="E355" t="s">
        <v>39</v>
      </c>
      <c r="F355" t="s">
        <v>44</v>
      </c>
      <c r="G355" t="s">
        <v>51</v>
      </c>
      <c r="H355">
        <v>5660.47</v>
      </c>
      <c r="I355">
        <v>6324.21</v>
      </c>
      <c r="J355">
        <v>663.73999999999978</v>
      </c>
      <c r="K355" s="1">
        <v>11.725881419740759</v>
      </c>
      <c r="L355" t="s">
        <v>55</v>
      </c>
    </row>
    <row r="356" spans="1:12" x14ac:dyDescent="0.3">
      <c r="A356" t="s">
        <v>14</v>
      </c>
      <c r="B356" s="7">
        <v>45778</v>
      </c>
      <c r="C356" t="s">
        <v>24</v>
      </c>
      <c r="D356" t="s">
        <v>28</v>
      </c>
      <c r="E356" t="s">
        <v>40</v>
      </c>
      <c r="F356" t="s">
        <v>43</v>
      </c>
      <c r="G356" t="s">
        <v>45</v>
      </c>
      <c r="H356">
        <v>5868.1</v>
      </c>
      <c r="I356">
        <v>6307.6</v>
      </c>
      <c r="J356">
        <v>439.5</v>
      </c>
      <c r="K356" s="1">
        <v>7.4896474156882125</v>
      </c>
      <c r="L356" t="s">
        <v>55</v>
      </c>
    </row>
    <row r="357" spans="1:12" x14ac:dyDescent="0.3">
      <c r="A357" t="s">
        <v>14</v>
      </c>
      <c r="B357" s="7">
        <v>45778</v>
      </c>
      <c r="C357" t="s">
        <v>24</v>
      </c>
      <c r="D357" t="s">
        <v>28</v>
      </c>
      <c r="E357" t="s">
        <v>40</v>
      </c>
      <c r="F357" t="s">
        <v>43</v>
      </c>
      <c r="G357" t="s">
        <v>46</v>
      </c>
      <c r="H357">
        <v>10855.23</v>
      </c>
      <c r="I357">
        <v>11360.66</v>
      </c>
      <c r="J357">
        <v>505.43000000000029</v>
      </c>
      <c r="K357" s="1">
        <v>4.6560966465012745</v>
      </c>
      <c r="L357" t="s">
        <v>55</v>
      </c>
    </row>
    <row r="358" spans="1:12" x14ac:dyDescent="0.3">
      <c r="A358" t="s">
        <v>14</v>
      </c>
      <c r="B358" s="7">
        <v>45778</v>
      </c>
      <c r="C358" t="s">
        <v>24</v>
      </c>
      <c r="D358" t="s">
        <v>28</v>
      </c>
      <c r="E358" t="s">
        <v>40</v>
      </c>
      <c r="F358" t="s">
        <v>43</v>
      </c>
      <c r="G358" t="s">
        <v>47</v>
      </c>
      <c r="H358">
        <v>18593.02</v>
      </c>
      <c r="I358">
        <v>18331</v>
      </c>
      <c r="J358">
        <v>-262.02000000000044</v>
      </c>
      <c r="K358" s="1">
        <v>-1.409238520692176</v>
      </c>
      <c r="L358" t="s">
        <v>55</v>
      </c>
    </row>
    <row r="359" spans="1:12" x14ac:dyDescent="0.3">
      <c r="A359" t="s">
        <v>14</v>
      </c>
      <c r="B359" s="7">
        <v>45778</v>
      </c>
      <c r="C359" t="s">
        <v>24</v>
      </c>
      <c r="D359" t="s">
        <v>28</v>
      </c>
      <c r="E359" t="s">
        <v>40</v>
      </c>
      <c r="F359" t="s">
        <v>43</v>
      </c>
      <c r="G359" t="s">
        <v>48</v>
      </c>
      <c r="H359">
        <v>6715.25</v>
      </c>
      <c r="I359">
        <v>7767.83</v>
      </c>
      <c r="J359">
        <v>1052.58</v>
      </c>
      <c r="K359" s="1">
        <v>15.674472283235918</v>
      </c>
      <c r="L359" t="s">
        <v>55</v>
      </c>
    </row>
    <row r="360" spans="1:12" x14ac:dyDescent="0.3">
      <c r="A360" t="s">
        <v>14</v>
      </c>
      <c r="B360" s="7">
        <v>45778</v>
      </c>
      <c r="C360" t="s">
        <v>24</v>
      </c>
      <c r="D360" t="s">
        <v>28</v>
      </c>
      <c r="E360" t="s">
        <v>40</v>
      </c>
      <c r="F360" t="s">
        <v>43</v>
      </c>
      <c r="G360" t="s">
        <v>49</v>
      </c>
      <c r="H360">
        <v>4369.3</v>
      </c>
      <c r="I360">
        <v>5105.3500000000004</v>
      </c>
      <c r="J360">
        <v>736.05000000000018</v>
      </c>
      <c r="K360" s="1">
        <v>16.845947863502168</v>
      </c>
      <c r="L360" t="s">
        <v>55</v>
      </c>
    </row>
    <row r="361" spans="1:12" x14ac:dyDescent="0.3">
      <c r="A361" t="s">
        <v>14</v>
      </c>
      <c r="B361" s="7">
        <v>45778</v>
      </c>
      <c r="C361" t="s">
        <v>24</v>
      </c>
      <c r="D361" t="s">
        <v>28</v>
      </c>
      <c r="E361" t="s">
        <v>40</v>
      </c>
      <c r="F361" t="s">
        <v>43</v>
      </c>
      <c r="G361" t="s">
        <v>51</v>
      </c>
      <c r="H361">
        <v>4947.47</v>
      </c>
      <c r="I361">
        <v>5398.61</v>
      </c>
      <c r="J361">
        <v>451.13999999999942</v>
      </c>
      <c r="K361" s="1">
        <v>9.1186000117231512</v>
      </c>
      <c r="L361" t="s">
        <v>55</v>
      </c>
    </row>
    <row r="362" spans="1:12" x14ac:dyDescent="0.3">
      <c r="A362" t="s">
        <v>15</v>
      </c>
      <c r="B362" s="7">
        <v>45809</v>
      </c>
      <c r="C362" t="s">
        <v>21</v>
      </c>
      <c r="D362" t="s">
        <v>25</v>
      </c>
      <c r="E362" t="s">
        <v>29</v>
      </c>
      <c r="F362" t="s">
        <v>41</v>
      </c>
      <c r="G362" t="s">
        <v>45</v>
      </c>
      <c r="H362">
        <v>8534.5300000000007</v>
      </c>
      <c r="I362">
        <v>7764.77</v>
      </c>
      <c r="J362">
        <v>-769.76000000000022</v>
      </c>
      <c r="K362" s="1">
        <v>-9.0193601756628681</v>
      </c>
      <c r="L362" t="s">
        <v>55</v>
      </c>
    </row>
    <row r="363" spans="1:12" x14ac:dyDescent="0.3">
      <c r="A363" t="s">
        <v>15</v>
      </c>
      <c r="B363" s="7">
        <v>45809</v>
      </c>
      <c r="C363" t="s">
        <v>21</v>
      </c>
      <c r="D363" t="s">
        <v>25</v>
      </c>
      <c r="E363" t="s">
        <v>29</v>
      </c>
      <c r="F363" t="s">
        <v>41</v>
      </c>
      <c r="G363" t="s">
        <v>46</v>
      </c>
      <c r="H363">
        <v>7109.08</v>
      </c>
      <c r="I363">
        <v>7781.38</v>
      </c>
      <c r="J363">
        <v>672.30000000000018</v>
      </c>
      <c r="K363" s="1">
        <v>9.4569198827415093</v>
      </c>
      <c r="L363" t="s">
        <v>55</v>
      </c>
    </row>
    <row r="364" spans="1:12" x14ac:dyDescent="0.3">
      <c r="A364" t="s">
        <v>15</v>
      </c>
      <c r="B364" s="7">
        <v>45809</v>
      </c>
      <c r="C364" t="s">
        <v>21</v>
      </c>
      <c r="D364" t="s">
        <v>25</v>
      </c>
      <c r="E364" t="s">
        <v>29</v>
      </c>
      <c r="F364" t="s">
        <v>41</v>
      </c>
      <c r="G364" t="s">
        <v>47</v>
      </c>
      <c r="H364">
        <v>19704.310000000001</v>
      </c>
      <c r="I364">
        <v>22222.59</v>
      </c>
      <c r="J364">
        <v>2518.2799999999988</v>
      </c>
      <c r="K364" s="1">
        <v>12.780351100850517</v>
      </c>
      <c r="L364" t="s">
        <v>55</v>
      </c>
    </row>
    <row r="365" spans="1:12" x14ac:dyDescent="0.3">
      <c r="A365" t="s">
        <v>15</v>
      </c>
      <c r="B365" s="7">
        <v>45809</v>
      </c>
      <c r="C365" t="s">
        <v>21</v>
      </c>
      <c r="D365" t="s">
        <v>25</v>
      </c>
      <c r="E365" t="s">
        <v>29</v>
      </c>
      <c r="F365" t="s">
        <v>41</v>
      </c>
      <c r="G365" t="s">
        <v>48</v>
      </c>
      <c r="H365">
        <v>5837.04</v>
      </c>
      <c r="I365">
        <v>6493.35</v>
      </c>
      <c r="J365">
        <v>656.3100000000004</v>
      </c>
      <c r="K365" s="1">
        <v>11.243883886353364</v>
      </c>
      <c r="L365" t="s">
        <v>55</v>
      </c>
    </row>
    <row r="366" spans="1:12" x14ac:dyDescent="0.3">
      <c r="A366" t="s">
        <v>15</v>
      </c>
      <c r="B366" s="7">
        <v>45809</v>
      </c>
      <c r="C366" t="s">
        <v>21</v>
      </c>
      <c r="D366" t="s">
        <v>25</v>
      </c>
      <c r="E366" t="s">
        <v>29</v>
      </c>
      <c r="F366" t="s">
        <v>41</v>
      </c>
      <c r="G366" t="s">
        <v>49</v>
      </c>
      <c r="H366">
        <v>3048.42</v>
      </c>
      <c r="I366">
        <v>2755.79</v>
      </c>
      <c r="J366">
        <v>-292.63000000000011</v>
      </c>
      <c r="K366" s="1">
        <v>-9.5993990329416583</v>
      </c>
      <c r="L366" t="s">
        <v>55</v>
      </c>
    </row>
    <row r="367" spans="1:12" x14ac:dyDescent="0.3">
      <c r="A367" t="s">
        <v>15</v>
      </c>
      <c r="B367" s="7">
        <v>45809</v>
      </c>
      <c r="C367" t="s">
        <v>21</v>
      </c>
      <c r="D367" t="s">
        <v>25</v>
      </c>
      <c r="E367" t="s">
        <v>29</v>
      </c>
      <c r="F367" t="s">
        <v>41</v>
      </c>
      <c r="G367" t="s">
        <v>51</v>
      </c>
      <c r="H367">
        <v>5091.3599999999997</v>
      </c>
      <c r="I367">
        <v>5696.26</v>
      </c>
      <c r="J367">
        <v>604.90000000000055</v>
      </c>
      <c r="K367" s="1">
        <v>11.88091197636782</v>
      </c>
      <c r="L367" t="s">
        <v>55</v>
      </c>
    </row>
    <row r="368" spans="1:12" x14ac:dyDescent="0.3">
      <c r="A368" t="s">
        <v>15</v>
      </c>
      <c r="B368" s="7">
        <v>45809</v>
      </c>
      <c r="C368" t="s">
        <v>21</v>
      </c>
      <c r="D368" t="s">
        <v>25</v>
      </c>
      <c r="E368" t="s">
        <v>30</v>
      </c>
      <c r="F368" t="s">
        <v>42</v>
      </c>
      <c r="G368" t="s">
        <v>45</v>
      </c>
      <c r="H368">
        <v>7469.27</v>
      </c>
      <c r="I368">
        <v>7638.16</v>
      </c>
      <c r="J368">
        <v>168.88999999999942</v>
      </c>
      <c r="K368" s="1">
        <v>2.2611312752116262</v>
      </c>
      <c r="L368" t="s">
        <v>55</v>
      </c>
    </row>
    <row r="369" spans="1:12" x14ac:dyDescent="0.3">
      <c r="A369" t="s">
        <v>15</v>
      </c>
      <c r="B369" s="7">
        <v>45809</v>
      </c>
      <c r="C369" t="s">
        <v>21</v>
      </c>
      <c r="D369" t="s">
        <v>25</v>
      </c>
      <c r="E369" t="s">
        <v>30</v>
      </c>
      <c r="F369" t="s">
        <v>42</v>
      </c>
      <c r="G369" t="s">
        <v>46</v>
      </c>
      <c r="H369">
        <v>8687.68</v>
      </c>
      <c r="I369">
        <v>9899.41</v>
      </c>
      <c r="J369">
        <v>1211.7299999999996</v>
      </c>
      <c r="K369" s="1">
        <v>13.947682235073108</v>
      </c>
      <c r="L369" t="s">
        <v>55</v>
      </c>
    </row>
    <row r="370" spans="1:12" x14ac:dyDescent="0.3">
      <c r="A370" t="s">
        <v>15</v>
      </c>
      <c r="B370" s="7">
        <v>45809</v>
      </c>
      <c r="C370" t="s">
        <v>21</v>
      </c>
      <c r="D370" t="s">
        <v>25</v>
      </c>
      <c r="E370" t="s">
        <v>30</v>
      </c>
      <c r="F370" t="s">
        <v>42</v>
      </c>
      <c r="G370" t="s">
        <v>47</v>
      </c>
      <c r="H370">
        <v>17738.41</v>
      </c>
      <c r="I370">
        <v>19857.75</v>
      </c>
      <c r="J370">
        <v>2119.34</v>
      </c>
      <c r="K370" s="1">
        <v>11.947745034645157</v>
      </c>
      <c r="L370" t="s">
        <v>55</v>
      </c>
    </row>
    <row r="371" spans="1:12" x14ac:dyDescent="0.3">
      <c r="A371" t="s">
        <v>15</v>
      </c>
      <c r="B371" s="7">
        <v>45809</v>
      </c>
      <c r="C371" t="s">
        <v>21</v>
      </c>
      <c r="D371" t="s">
        <v>25</v>
      </c>
      <c r="E371" t="s">
        <v>30</v>
      </c>
      <c r="F371" t="s">
        <v>42</v>
      </c>
      <c r="G371" t="s">
        <v>48</v>
      </c>
      <c r="H371">
        <v>7094.37</v>
      </c>
      <c r="I371">
        <v>6912.69</v>
      </c>
      <c r="J371">
        <v>-181.68000000000029</v>
      </c>
      <c r="K371" s="1">
        <v>-2.5609039280443548</v>
      </c>
      <c r="L371" t="s">
        <v>55</v>
      </c>
    </row>
    <row r="372" spans="1:12" x14ac:dyDescent="0.3">
      <c r="A372" t="s">
        <v>15</v>
      </c>
      <c r="B372" s="7">
        <v>45809</v>
      </c>
      <c r="C372" t="s">
        <v>21</v>
      </c>
      <c r="D372" t="s">
        <v>25</v>
      </c>
      <c r="E372" t="s">
        <v>30</v>
      </c>
      <c r="F372" t="s">
        <v>42</v>
      </c>
      <c r="G372" t="s">
        <v>49</v>
      </c>
      <c r="H372">
        <v>3596.63</v>
      </c>
      <c r="I372">
        <v>3414.83</v>
      </c>
      <c r="J372">
        <v>-181.80000000000018</v>
      </c>
      <c r="K372" s="1">
        <v>-5.0547317905928653</v>
      </c>
      <c r="L372" t="s">
        <v>55</v>
      </c>
    </row>
    <row r="373" spans="1:12" x14ac:dyDescent="0.3">
      <c r="A373" t="s">
        <v>15</v>
      </c>
      <c r="B373" s="7">
        <v>45809</v>
      </c>
      <c r="C373" t="s">
        <v>21</v>
      </c>
      <c r="D373" t="s">
        <v>25</v>
      </c>
      <c r="E373" t="s">
        <v>30</v>
      </c>
      <c r="F373" t="s">
        <v>42</v>
      </c>
      <c r="G373" t="s">
        <v>51</v>
      </c>
      <c r="H373">
        <v>7191.39</v>
      </c>
      <c r="I373">
        <v>7305.72</v>
      </c>
      <c r="J373">
        <v>114.32999999999993</v>
      </c>
      <c r="K373" s="1">
        <v>1.5898178238143101</v>
      </c>
      <c r="L373" t="s">
        <v>55</v>
      </c>
    </row>
    <row r="374" spans="1:12" x14ac:dyDescent="0.3">
      <c r="A374" t="s">
        <v>15</v>
      </c>
      <c r="B374" s="7">
        <v>45809</v>
      </c>
      <c r="C374" t="s">
        <v>21</v>
      </c>
      <c r="D374" t="s">
        <v>25</v>
      </c>
      <c r="E374" t="s">
        <v>31</v>
      </c>
      <c r="F374" t="s">
        <v>43</v>
      </c>
      <c r="G374" t="s">
        <v>45</v>
      </c>
      <c r="H374">
        <v>5780.63</v>
      </c>
      <c r="I374">
        <v>6629.57</v>
      </c>
      <c r="J374">
        <v>848.9399999999996</v>
      </c>
      <c r="K374" s="1">
        <v>14.685942535675171</v>
      </c>
      <c r="L374" t="s">
        <v>55</v>
      </c>
    </row>
    <row r="375" spans="1:12" x14ac:dyDescent="0.3">
      <c r="A375" t="s">
        <v>15</v>
      </c>
      <c r="B375" s="7">
        <v>45809</v>
      </c>
      <c r="C375" t="s">
        <v>21</v>
      </c>
      <c r="D375" t="s">
        <v>25</v>
      </c>
      <c r="E375" t="s">
        <v>31</v>
      </c>
      <c r="F375" t="s">
        <v>43</v>
      </c>
      <c r="G375" t="s">
        <v>46</v>
      </c>
      <c r="H375">
        <v>8823.01</v>
      </c>
      <c r="I375">
        <v>9082.17</v>
      </c>
      <c r="J375">
        <v>259.15999999999985</v>
      </c>
      <c r="K375" s="1">
        <v>2.9373195768790907</v>
      </c>
      <c r="L375" t="s">
        <v>55</v>
      </c>
    </row>
    <row r="376" spans="1:12" x14ac:dyDescent="0.3">
      <c r="A376" t="s">
        <v>15</v>
      </c>
      <c r="B376" s="7">
        <v>45809</v>
      </c>
      <c r="C376" t="s">
        <v>21</v>
      </c>
      <c r="D376" t="s">
        <v>25</v>
      </c>
      <c r="E376" t="s">
        <v>31</v>
      </c>
      <c r="F376" t="s">
        <v>43</v>
      </c>
      <c r="G376" t="s">
        <v>47</v>
      </c>
      <c r="H376">
        <v>23289.9</v>
      </c>
      <c r="I376">
        <v>24594.1</v>
      </c>
      <c r="J376">
        <v>1304.1999999999971</v>
      </c>
      <c r="K376" s="1">
        <v>5.5998522964890229</v>
      </c>
      <c r="L376" t="s">
        <v>55</v>
      </c>
    </row>
    <row r="377" spans="1:12" x14ac:dyDescent="0.3">
      <c r="A377" t="s">
        <v>15</v>
      </c>
      <c r="B377" s="7">
        <v>45809</v>
      </c>
      <c r="C377" t="s">
        <v>21</v>
      </c>
      <c r="D377" t="s">
        <v>25</v>
      </c>
      <c r="E377" t="s">
        <v>31</v>
      </c>
      <c r="F377" t="s">
        <v>43</v>
      </c>
      <c r="G377" t="s">
        <v>48</v>
      </c>
      <c r="H377">
        <v>5740.97</v>
      </c>
      <c r="I377">
        <v>6660.36</v>
      </c>
      <c r="J377">
        <v>919.38999999999942</v>
      </c>
      <c r="K377" s="1">
        <v>16.014541096713611</v>
      </c>
      <c r="L377" t="s">
        <v>55</v>
      </c>
    </row>
    <row r="378" spans="1:12" x14ac:dyDescent="0.3">
      <c r="A378" t="s">
        <v>15</v>
      </c>
      <c r="B378" s="7">
        <v>45809</v>
      </c>
      <c r="C378" t="s">
        <v>21</v>
      </c>
      <c r="D378" t="s">
        <v>25</v>
      </c>
      <c r="E378" t="s">
        <v>31</v>
      </c>
      <c r="F378" t="s">
        <v>43</v>
      </c>
      <c r="G378" t="s">
        <v>49</v>
      </c>
      <c r="H378">
        <v>3943.19</v>
      </c>
      <c r="I378">
        <v>3787.51</v>
      </c>
      <c r="J378">
        <v>-155.67999999999984</v>
      </c>
      <c r="K378" s="1">
        <v>-3.9480724996766532</v>
      </c>
      <c r="L378" t="s">
        <v>55</v>
      </c>
    </row>
    <row r="379" spans="1:12" x14ac:dyDescent="0.3">
      <c r="A379" t="s">
        <v>15</v>
      </c>
      <c r="B379" s="7">
        <v>45809</v>
      </c>
      <c r="C379" t="s">
        <v>21</v>
      </c>
      <c r="D379" t="s">
        <v>25</v>
      </c>
      <c r="E379" t="s">
        <v>31</v>
      </c>
      <c r="F379" t="s">
        <v>43</v>
      </c>
      <c r="G379" t="s">
        <v>51</v>
      </c>
      <c r="H379">
        <v>5001.38</v>
      </c>
      <c r="I379">
        <v>5561.68</v>
      </c>
      <c r="J379">
        <v>560.30000000000018</v>
      </c>
      <c r="K379" s="1">
        <v>11.202907997392723</v>
      </c>
      <c r="L379" t="s">
        <v>55</v>
      </c>
    </row>
    <row r="380" spans="1:12" x14ac:dyDescent="0.3">
      <c r="A380" t="s">
        <v>15</v>
      </c>
      <c r="B380" s="7">
        <v>45809</v>
      </c>
      <c r="C380" t="s">
        <v>22</v>
      </c>
      <c r="D380" t="s">
        <v>26</v>
      </c>
      <c r="E380" t="s">
        <v>32</v>
      </c>
      <c r="F380" t="s">
        <v>41</v>
      </c>
      <c r="G380" t="s">
        <v>45</v>
      </c>
      <c r="H380">
        <v>7293.28</v>
      </c>
      <c r="I380">
        <v>7483.22</v>
      </c>
      <c r="J380">
        <v>189.94000000000051</v>
      </c>
      <c r="K380" s="1">
        <v>2.6043152052300274</v>
      </c>
      <c r="L380" t="s">
        <v>55</v>
      </c>
    </row>
    <row r="381" spans="1:12" x14ac:dyDescent="0.3">
      <c r="A381" t="s">
        <v>15</v>
      </c>
      <c r="B381" s="7">
        <v>45809</v>
      </c>
      <c r="C381" t="s">
        <v>22</v>
      </c>
      <c r="D381" t="s">
        <v>26</v>
      </c>
      <c r="E381" t="s">
        <v>32</v>
      </c>
      <c r="F381" t="s">
        <v>41</v>
      </c>
      <c r="G381" t="s">
        <v>46</v>
      </c>
      <c r="H381">
        <v>11577.02</v>
      </c>
      <c r="I381">
        <v>12853.24</v>
      </c>
      <c r="J381">
        <v>1276.2199999999993</v>
      </c>
      <c r="K381" s="1">
        <v>11.023734950790439</v>
      </c>
      <c r="L381" t="s">
        <v>55</v>
      </c>
    </row>
    <row r="382" spans="1:12" x14ac:dyDescent="0.3">
      <c r="A382" t="s">
        <v>15</v>
      </c>
      <c r="B382" s="7">
        <v>45809</v>
      </c>
      <c r="C382" t="s">
        <v>22</v>
      </c>
      <c r="D382" t="s">
        <v>26</v>
      </c>
      <c r="E382" t="s">
        <v>32</v>
      </c>
      <c r="F382" t="s">
        <v>41</v>
      </c>
      <c r="G382" t="s">
        <v>47</v>
      </c>
      <c r="H382">
        <v>15138.09</v>
      </c>
      <c r="I382">
        <v>14424.6</v>
      </c>
      <c r="J382">
        <v>-713.48999999999978</v>
      </c>
      <c r="K382" s="1">
        <v>-4.7132101870183085</v>
      </c>
      <c r="L382" t="s">
        <v>55</v>
      </c>
    </row>
    <row r="383" spans="1:12" x14ac:dyDescent="0.3">
      <c r="A383" t="s">
        <v>15</v>
      </c>
      <c r="B383" s="7">
        <v>45809</v>
      </c>
      <c r="C383" t="s">
        <v>22</v>
      </c>
      <c r="D383" t="s">
        <v>26</v>
      </c>
      <c r="E383" t="s">
        <v>32</v>
      </c>
      <c r="F383" t="s">
        <v>41</v>
      </c>
      <c r="G383" t="s">
        <v>48</v>
      </c>
      <c r="H383">
        <v>6293.65</v>
      </c>
      <c r="I383">
        <v>6894.71</v>
      </c>
      <c r="J383">
        <v>601.0600000000004</v>
      </c>
      <c r="K383" s="1">
        <v>9.5502609773343039</v>
      </c>
      <c r="L383" t="s">
        <v>55</v>
      </c>
    </row>
    <row r="384" spans="1:12" x14ac:dyDescent="0.3">
      <c r="A384" t="s">
        <v>15</v>
      </c>
      <c r="B384" s="7">
        <v>45809</v>
      </c>
      <c r="C384" t="s">
        <v>22</v>
      </c>
      <c r="D384" t="s">
        <v>26</v>
      </c>
      <c r="E384" t="s">
        <v>32</v>
      </c>
      <c r="F384" t="s">
        <v>41</v>
      </c>
      <c r="G384" t="s">
        <v>49</v>
      </c>
      <c r="H384">
        <v>2695.42</v>
      </c>
      <c r="I384">
        <v>2798.02</v>
      </c>
      <c r="J384">
        <v>102.59999999999991</v>
      </c>
      <c r="K384" s="1">
        <v>3.8064568787053563</v>
      </c>
      <c r="L384" t="s">
        <v>55</v>
      </c>
    </row>
    <row r="385" spans="1:12" x14ac:dyDescent="0.3">
      <c r="A385" t="s">
        <v>15</v>
      </c>
      <c r="B385" s="7">
        <v>45809</v>
      </c>
      <c r="C385" t="s">
        <v>22</v>
      </c>
      <c r="D385" t="s">
        <v>26</v>
      </c>
      <c r="E385" t="s">
        <v>32</v>
      </c>
      <c r="F385" t="s">
        <v>41</v>
      </c>
      <c r="G385" t="s">
        <v>51</v>
      </c>
      <c r="H385">
        <v>7244.85</v>
      </c>
      <c r="I385">
        <v>8254.2999999999993</v>
      </c>
      <c r="J385">
        <v>1009.4499999999989</v>
      </c>
      <c r="K385" s="1">
        <v>13.933345755950763</v>
      </c>
      <c r="L385" t="s">
        <v>55</v>
      </c>
    </row>
    <row r="386" spans="1:12" x14ac:dyDescent="0.3">
      <c r="A386" t="s">
        <v>15</v>
      </c>
      <c r="B386" s="7">
        <v>45809</v>
      </c>
      <c r="C386" t="s">
        <v>22</v>
      </c>
      <c r="D386" t="s">
        <v>26</v>
      </c>
      <c r="E386" t="s">
        <v>33</v>
      </c>
      <c r="F386" t="s">
        <v>42</v>
      </c>
      <c r="G386" t="s">
        <v>45</v>
      </c>
      <c r="H386">
        <v>6209.12</v>
      </c>
      <c r="I386">
        <v>6960.51</v>
      </c>
      <c r="J386">
        <v>751.39000000000033</v>
      </c>
      <c r="K386" s="1">
        <v>12.101392789960579</v>
      </c>
      <c r="L386" t="s">
        <v>55</v>
      </c>
    </row>
    <row r="387" spans="1:12" x14ac:dyDescent="0.3">
      <c r="A387" t="s">
        <v>15</v>
      </c>
      <c r="B387" s="7">
        <v>45809</v>
      </c>
      <c r="C387" t="s">
        <v>22</v>
      </c>
      <c r="D387" t="s">
        <v>26</v>
      </c>
      <c r="E387" t="s">
        <v>33</v>
      </c>
      <c r="F387" t="s">
        <v>42</v>
      </c>
      <c r="G387" t="s">
        <v>46</v>
      </c>
      <c r="H387">
        <v>7347.41</v>
      </c>
      <c r="I387">
        <v>8297.65</v>
      </c>
      <c r="J387">
        <v>950.23999999999978</v>
      </c>
      <c r="K387" s="1">
        <v>12.932992714439507</v>
      </c>
      <c r="L387" t="s">
        <v>55</v>
      </c>
    </row>
    <row r="388" spans="1:12" x14ac:dyDescent="0.3">
      <c r="A388" t="s">
        <v>15</v>
      </c>
      <c r="B388" s="7">
        <v>45809</v>
      </c>
      <c r="C388" t="s">
        <v>22</v>
      </c>
      <c r="D388" t="s">
        <v>26</v>
      </c>
      <c r="E388" t="s">
        <v>33</v>
      </c>
      <c r="F388" t="s">
        <v>42</v>
      </c>
      <c r="G388" t="s">
        <v>47</v>
      </c>
      <c r="H388">
        <v>14876.88</v>
      </c>
      <c r="I388">
        <v>14595.78</v>
      </c>
      <c r="J388">
        <v>-281.09999999999854</v>
      </c>
      <c r="K388" s="1">
        <v>-1.8895090906157646</v>
      </c>
      <c r="L388" t="s">
        <v>55</v>
      </c>
    </row>
    <row r="389" spans="1:12" x14ac:dyDescent="0.3">
      <c r="A389" t="s">
        <v>15</v>
      </c>
      <c r="B389" s="7">
        <v>45809</v>
      </c>
      <c r="C389" t="s">
        <v>22</v>
      </c>
      <c r="D389" t="s">
        <v>26</v>
      </c>
      <c r="E389" t="s">
        <v>33</v>
      </c>
      <c r="F389" t="s">
        <v>42</v>
      </c>
      <c r="G389" t="s">
        <v>48</v>
      </c>
      <c r="H389">
        <v>8598.64</v>
      </c>
      <c r="I389">
        <v>7734.24</v>
      </c>
      <c r="J389">
        <v>-864.39999999999964</v>
      </c>
      <c r="K389" s="1">
        <v>-10.052752528306797</v>
      </c>
      <c r="L389" t="s">
        <v>55</v>
      </c>
    </row>
    <row r="390" spans="1:12" x14ac:dyDescent="0.3">
      <c r="A390" t="s">
        <v>15</v>
      </c>
      <c r="B390" s="7">
        <v>45809</v>
      </c>
      <c r="C390" t="s">
        <v>22</v>
      </c>
      <c r="D390" t="s">
        <v>26</v>
      </c>
      <c r="E390" t="s">
        <v>33</v>
      </c>
      <c r="F390" t="s">
        <v>42</v>
      </c>
      <c r="G390" t="s">
        <v>49</v>
      </c>
      <c r="H390">
        <v>3106.43</v>
      </c>
      <c r="I390">
        <v>3380.86</v>
      </c>
      <c r="J390">
        <v>274.43000000000029</v>
      </c>
      <c r="K390" s="1">
        <v>8.8342566869364614</v>
      </c>
      <c r="L390" t="s">
        <v>55</v>
      </c>
    </row>
    <row r="391" spans="1:12" x14ac:dyDescent="0.3">
      <c r="A391" t="s">
        <v>15</v>
      </c>
      <c r="B391" s="7">
        <v>45809</v>
      </c>
      <c r="C391" t="s">
        <v>22</v>
      </c>
      <c r="D391" t="s">
        <v>26</v>
      </c>
      <c r="E391" t="s">
        <v>33</v>
      </c>
      <c r="F391" t="s">
        <v>42</v>
      </c>
      <c r="G391" t="s">
        <v>51</v>
      </c>
      <c r="H391">
        <v>7092.13</v>
      </c>
      <c r="I391">
        <v>7528.86</v>
      </c>
      <c r="J391">
        <v>436.72999999999956</v>
      </c>
      <c r="K391" s="1">
        <v>6.157952547401127</v>
      </c>
      <c r="L391" t="s">
        <v>55</v>
      </c>
    </row>
    <row r="392" spans="1:12" x14ac:dyDescent="0.3">
      <c r="A392" t="s">
        <v>15</v>
      </c>
      <c r="B392" s="7">
        <v>45809</v>
      </c>
      <c r="C392" t="s">
        <v>22</v>
      </c>
      <c r="D392" t="s">
        <v>26</v>
      </c>
      <c r="E392" t="s">
        <v>34</v>
      </c>
      <c r="F392" t="s">
        <v>43</v>
      </c>
      <c r="G392" t="s">
        <v>45</v>
      </c>
      <c r="H392">
        <v>7581.4</v>
      </c>
      <c r="I392">
        <v>7802.01</v>
      </c>
      <c r="J392">
        <v>220.61000000000058</v>
      </c>
      <c r="K392" s="1">
        <v>2.9098847178621443</v>
      </c>
      <c r="L392" t="s">
        <v>55</v>
      </c>
    </row>
    <row r="393" spans="1:12" x14ac:dyDescent="0.3">
      <c r="A393" t="s">
        <v>15</v>
      </c>
      <c r="B393" s="7">
        <v>45809</v>
      </c>
      <c r="C393" t="s">
        <v>22</v>
      </c>
      <c r="D393" t="s">
        <v>26</v>
      </c>
      <c r="E393" t="s">
        <v>34</v>
      </c>
      <c r="F393" t="s">
        <v>43</v>
      </c>
      <c r="G393" t="s">
        <v>46</v>
      </c>
      <c r="H393">
        <v>8109.71</v>
      </c>
      <c r="I393">
        <v>7818.41</v>
      </c>
      <c r="J393">
        <v>-291.30000000000018</v>
      </c>
      <c r="K393" s="1">
        <v>-3.5919903424413473</v>
      </c>
      <c r="L393" t="s">
        <v>55</v>
      </c>
    </row>
    <row r="394" spans="1:12" x14ac:dyDescent="0.3">
      <c r="A394" t="s">
        <v>15</v>
      </c>
      <c r="B394" s="7">
        <v>45809</v>
      </c>
      <c r="C394" t="s">
        <v>22</v>
      </c>
      <c r="D394" t="s">
        <v>26</v>
      </c>
      <c r="E394" t="s">
        <v>34</v>
      </c>
      <c r="F394" t="s">
        <v>43</v>
      </c>
      <c r="G394" t="s">
        <v>47</v>
      </c>
      <c r="H394">
        <v>15461.26</v>
      </c>
      <c r="I394">
        <v>17777.18</v>
      </c>
      <c r="J394">
        <v>2315.92</v>
      </c>
      <c r="K394" s="1">
        <v>14.978856833142965</v>
      </c>
      <c r="L394" t="s">
        <v>55</v>
      </c>
    </row>
    <row r="395" spans="1:12" x14ac:dyDescent="0.3">
      <c r="A395" t="s">
        <v>15</v>
      </c>
      <c r="B395" s="7">
        <v>45809</v>
      </c>
      <c r="C395" t="s">
        <v>22</v>
      </c>
      <c r="D395" t="s">
        <v>26</v>
      </c>
      <c r="E395" t="s">
        <v>34</v>
      </c>
      <c r="F395" t="s">
        <v>43</v>
      </c>
      <c r="G395" t="s">
        <v>48</v>
      </c>
      <c r="H395">
        <v>7700.25</v>
      </c>
      <c r="I395">
        <v>7563.8</v>
      </c>
      <c r="J395">
        <v>-136.44999999999982</v>
      </c>
      <c r="K395" s="1">
        <v>-1.7720203889484083</v>
      </c>
      <c r="L395" t="s">
        <v>55</v>
      </c>
    </row>
    <row r="396" spans="1:12" x14ac:dyDescent="0.3">
      <c r="A396" t="s">
        <v>15</v>
      </c>
      <c r="B396" s="7">
        <v>45809</v>
      </c>
      <c r="C396" t="s">
        <v>22</v>
      </c>
      <c r="D396" t="s">
        <v>26</v>
      </c>
      <c r="E396" t="s">
        <v>34</v>
      </c>
      <c r="F396" t="s">
        <v>43</v>
      </c>
      <c r="G396" t="s">
        <v>49</v>
      </c>
      <c r="H396">
        <v>3595.21</v>
      </c>
      <c r="I396">
        <v>4179.8100000000004</v>
      </c>
      <c r="J396">
        <v>584.60000000000036</v>
      </c>
      <c r="K396" s="1">
        <v>16.260524419992166</v>
      </c>
      <c r="L396" t="s">
        <v>55</v>
      </c>
    </row>
    <row r="397" spans="1:12" x14ac:dyDescent="0.3">
      <c r="A397" t="s">
        <v>15</v>
      </c>
      <c r="B397" s="7">
        <v>45809</v>
      </c>
      <c r="C397" t="s">
        <v>22</v>
      </c>
      <c r="D397" t="s">
        <v>26</v>
      </c>
      <c r="E397" t="s">
        <v>34</v>
      </c>
      <c r="F397" t="s">
        <v>43</v>
      </c>
      <c r="G397" t="s">
        <v>51</v>
      </c>
      <c r="H397">
        <v>5052.07</v>
      </c>
      <c r="I397">
        <v>5271.61</v>
      </c>
      <c r="J397">
        <v>219.53999999999996</v>
      </c>
      <c r="K397" s="1">
        <v>4.3455454892746932</v>
      </c>
      <c r="L397" t="s">
        <v>55</v>
      </c>
    </row>
    <row r="398" spans="1:12" x14ac:dyDescent="0.3">
      <c r="A398" t="s">
        <v>15</v>
      </c>
      <c r="B398" s="7">
        <v>45809</v>
      </c>
      <c r="C398" t="s">
        <v>23</v>
      </c>
      <c r="D398" t="s">
        <v>27</v>
      </c>
      <c r="E398" t="s">
        <v>35</v>
      </c>
      <c r="F398" t="s">
        <v>41</v>
      </c>
      <c r="G398" t="s">
        <v>45</v>
      </c>
      <c r="H398">
        <v>6847.97</v>
      </c>
      <c r="I398">
        <v>7202.55</v>
      </c>
      <c r="J398">
        <v>354.57999999999993</v>
      </c>
      <c r="K398" s="1">
        <v>5.1778848330235077</v>
      </c>
      <c r="L398" t="s">
        <v>55</v>
      </c>
    </row>
    <row r="399" spans="1:12" x14ac:dyDescent="0.3">
      <c r="A399" t="s">
        <v>15</v>
      </c>
      <c r="B399" s="7">
        <v>45809</v>
      </c>
      <c r="C399" t="s">
        <v>23</v>
      </c>
      <c r="D399" t="s">
        <v>27</v>
      </c>
      <c r="E399" t="s">
        <v>35</v>
      </c>
      <c r="F399" t="s">
        <v>41</v>
      </c>
      <c r="G399" t="s">
        <v>46</v>
      </c>
      <c r="H399">
        <v>6847.79</v>
      </c>
      <c r="I399">
        <v>8765.1712000000007</v>
      </c>
      <c r="J399">
        <v>1917.3812000000007</v>
      </c>
      <c r="K399" s="1">
        <v>28.000000000000007</v>
      </c>
      <c r="L399" t="s">
        <v>55</v>
      </c>
    </row>
    <row r="400" spans="1:12" x14ac:dyDescent="0.3">
      <c r="A400" t="s">
        <v>15</v>
      </c>
      <c r="B400" s="7">
        <v>45809</v>
      </c>
      <c r="C400" t="s">
        <v>23</v>
      </c>
      <c r="D400" t="s">
        <v>27</v>
      </c>
      <c r="E400" t="s">
        <v>35</v>
      </c>
      <c r="F400" t="s">
        <v>41</v>
      </c>
      <c r="G400" t="s">
        <v>47</v>
      </c>
      <c r="H400">
        <v>23566.880000000001</v>
      </c>
      <c r="I400">
        <v>24426.93</v>
      </c>
      <c r="J400">
        <v>860.04999999999927</v>
      </c>
      <c r="K400" s="1">
        <v>3.6494011935394046</v>
      </c>
      <c r="L400" t="s">
        <v>55</v>
      </c>
    </row>
    <row r="401" spans="1:12" x14ac:dyDescent="0.3">
      <c r="A401" t="s">
        <v>15</v>
      </c>
      <c r="B401" s="7">
        <v>45809</v>
      </c>
      <c r="C401" t="s">
        <v>23</v>
      </c>
      <c r="D401" t="s">
        <v>27</v>
      </c>
      <c r="E401" t="s">
        <v>35</v>
      </c>
      <c r="F401" t="s">
        <v>41</v>
      </c>
      <c r="G401" t="s">
        <v>48</v>
      </c>
      <c r="H401">
        <v>8175.93</v>
      </c>
      <c r="I401">
        <v>9438.5</v>
      </c>
      <c r="J401">
        <v>1262.5699999999997</v>
      </c>
      <c r="K401" s="1">
        <v>15.44252458130145</v>
      </c>
      <c r="L401" t="s">
        <v>55</v>
      </c>
    </row>
    <row r="402" spans="1:12" x14ac:dyDescent="0.3">
      <c r="A402" t="s">
        <v>15</v>
      </c>
      <c r="B402" s="7">
        <v>45809</v>
      </c>
      <c r="C402" t="s">
        <v>23</v>
      </c>
      <c r="D402" t="s">
        <v>27</v>
      </c>
      <c r="E402" t="s">
        <v>35</v>
      </c>
      <c r="F402" t="s">
        <v>41</v>
      </c>
      <c r="G402" t="s">
        <v>49</v>
      </c>
      <c r="H402">
        <v>4110.2</v>
      </c>
      <c r="I402">
        <v>3700.57</v>
      </c>
      <c r="J402">
        <v>-409.62999999999965</v>
      </c>
      <c r="K402" s="1">
        <v>-9.9661816943214365</v>
      </c>
      <c r="L402" t="s">
        <v>55</v>
      </c>
    </row>
    <row r="403" spans="1:12" x14ac:dyDescent="0.3">
      <c r="A403" t="s">
        <v>15</v>
      </c>
      <c r="B403" s="7">
        <v>45809</v>
      </c>
      <c r="C403" t="s">
        <v>23</v>
      </c>
      <c r="D403" t="s">
        <v>27</v>
      </c>
      <c r="E403" t="s">
        <v>35</v>
      </c>
      <c r="F403" t="s">
        <v>41</v>
      </c>
      <c r="G403" t="s">
        <v>51</v>
      </c>
      <c r="H403">
        <v>6574.64</v>
      </c>
      <c r="I403">
        <v>6904.79</v>
      </c>
      <c r="J403">
        <v>330.14999999999964</v>
      </c>
      <c r="K403" s="1">
        <v>5.0215677208181679</v>
      </c>
      <c r="L403" t="s">
        <v>55</v>
      </c>
    </row>
    <row r="404" spans="1:12" x14ac:dyDescent="0.3">
      <c r="A404" t="s">
        <v>15</v>
      </c>
      <c r="B404" s="7">
        <v>45809</v>
      </c>
      <c r="C404" t="s">
        <v>23</v>
      </c>
      <c r="D404" t="s">
        <v>27</v>
      </c>
      <c r="E404" t="s">
        <v>36</v>
      </c>
      <c r="F404" t="s">
        <v>44</v>
      </c>
      <c r="G404" t="s">
        <v>45</v>
      </c>
      <c r="H404">
        <v>6529.11</v>
      </c>
      <c r="I404">
        <v>7136.49</v>
      </c>
      <c r="J404">
        <v>607.38000000000011</v>
      </c>
      <c r="K404" s="1">
        <v>9.3026461493220385</v>
      </c>
      <c r="L404" t="s">
        <v>55</v>
      </c>
    </row>
    <row r="405" spans="1:12" x14ac:dyDescent="0.3">
      <c r="A405" t="s">
        <v>15</v>
      </c>
      <c r="B405" s="7">
        <v>45809</v>
      </c>
      <c r="C405" t="s">
        <v>23</v>
      </c>
      <c r="D405" t="s">
        <v>27</v>
      </c>
      <c r="E405" t="s">
        <v>36</v>
      </c>
      <c r="F405" t="s">
        <v>44</v>
      </c>
      <c r="G405" t="s">
        <v>46</v>
      </c>
      <c r="H405">
        <v>11795.58</v>
      </c>
      <c r="I405">
        <v>13629.06</v>
      </c>
      <c r="J405">
        <v>1833.4799999999996</v>
      </c>
      <c r="K405" s="1">
        <v>15.543788436007382</v>
      </c>
      <c r="L405" t="s">
        <v>55</v>
      </c>
    </row>
    <row r="406" spans="1:12" x14ac:dyDescent="0.3">
      <c r="A406" t="s">
        <v>15</v>
      </c>
      <c r="B406" s="7">
        <v>45809</v>
      </c>
      <c r="C406" t="s">
        <v>23</v>
      </c>
      <c r="D406" t="s">
        <v>27</v>
      </c>
      <c r="E406" t="s">
        <v>36</v>
      </c>
      <c r="F406" t="s">
        <v>44</v>
      </c>
      <c r="G406" t="s">
        <v>47</v>
      </c>
      <c r="H406">
        <v>18369.07</v>
      </c>
      <c r="I406">
        <v>16300.13</v>
      </c>
      <c r="J406">
        <v>-2068.9400000000005</v>
      </c>
      <c r="K406" s="1">
        <v>-11.263172278182839</v>
      </c>
      <c r="L406" t="s">
        <v>55</v>
      </c>
    </row>
    <row r="407" spans="1:12" x14ac:dyDescent="0.3">
      <c r="A407" t="s">
        <v>15</v>
      </c>
      <c r="B407" s="7">
        <v>45809</v>
      </c>
      <c r="C407" t="s">
        <v>23</v>
      </c>
      <c r="D407" t="s">
        <v>27</v>
      </c>
      <c r="E407" t="s">
        <v>36</v>
      </c>
      <c r="F407" t="s">
        <v>44</v>
      </c>
      <c r="G407" t="s">
        <v>48</v>
      </c>
      <c r="H407">
        <v>9386.33</v>
      </c>
      <c r="I407">
        <v>10576.86</v>
      </c>
      <c r="J407">
        <v>1190.5300000000007</v>
      </c>
      <c r="K407" s="1">
        <v>12.683658043132946</v>
      </c>
      <c r="L407" t="s">
        <v>55</v>
      </c>
    </row>
    <row r="408" spans="1:12" x14ac:dyDescent="0.3">
      <c r="A408" t="s">
        <v>15</v>
      </c>
      <c r="B408" s="7">
        <v>45809</v>
      </c>
      <c r="C408" t="s">
        <v>23</v>
      </c>
      <c r="D408" t="s">
        <v>27</v>
      </c>
      <c r="E408" t="s">
        <v>36</v>
      </c>
      <c r="F408" t="s">
        <v>44</v>
      </c>
      <c r="G408" t="s">
        <v>49</v>
      </c>
      <c r="H408">
        <v>2886.79</v>
      </c>
      <c r="I408">
        <v>3331</v>
      </c>
      <c r="J408">
        <v>444.21000000000004</v>
      </c>
      <c r="K408" s="1">
        <v>15.387679741165794</v>
      </c>
      <c r="L408" t="s">
        <v>55</v>
      </c>
    </row>
    <row r="409" spans="1:12" x14ac:dyDescent="0.3">
      <c r="A409" t="s">
        <v>15</v>
      </c>
      <c r="B409" s="7">
        <v>45809</v>
      </c>
      <c r="C409" t="s">
        <v>23</v>
      </c>
      <c r="D409" t="s">
        <v>27</v>
      </c>
      <c r="E409" t="s">
        <v>36</v>
      </c>
      <c r="F409" t="s">
        <v>44</v>
      </c>
      <c r="G409" t="s">
        <v>51</v>
      </c>
      <c r="H409">
        <v>7631.63</v>
      </c>
      <c r="I409">
        <v>7793.54</v>
      </c>
      <c r="J409">
        <v>161.90999999999985</v>
      </c>
      <c r="K409" s="1">
        <v>2.1215651178057615</v>
      </c>
      <c r="L409" t="s">
        <v>55</v>
      </c>
    </row>
    <row r="410" spans="1:12" x14ac:dyDescent="0.3">
      <c r="A410" t="s">
        <v>15</v>
      </c>
      <c r="B410" s="7">
        <v>45809</v>
      </c>
      <c r="C410" t="s">
        <v>23</v>
      </c>
      <c r="D410" t="s">
        <v>27</v>
      </c>
      <c r="E410" t="s">
        <v>37</v>
      </c>
      <c r="F410" t="s">
        <v>43</v>
      </c>
      <c r="G410" t="s">
        <v>45</v>
      </c>
      <c r="H410">
        <v>7180.97</v>
      </c>
      <c r="I410">
        <v>7049.35</v>
      </c>
      <c r="J410">
        <v>-131.61999999999989</v>
      </c>
      <c r="K410" s="1">
        <v>-1.8329000121153534</v>
      </c>
      <c r="L410" t="s">
        <v>55</v>
      </c>
    </row>
    <row r="411" spans="1:12" x14ac:dyDescent="0.3">
      <c r="A411" t="s">
        <v>15</v>
      </c>
      <c r="B411" s="7">
        <v>45809</v>
      </c>
      <c r="C411" t="s">
        <v>23</v>
      </c>
      <c r="D411" t="s">
        <v>27</v>
      </c>
      <c r="E411" t="s">
        <v>37</v>
      </c>
      <c r="F411" t="s">
        <v>43</v>
      </c>
      <c r="G411" t="s">
        <v>46</v>
      </c>
      <c r="H411">
        <v>7045.71</v>
      </c>
      <c r="I411">
        <v>6768.22</v>
      </c>
      <c r="J411">
        <v>-277.48999999999978</v>
      </c>
      <c r="K411" s="1">
        <v>-3.9384249422698319</v>
      </c>
      <c r="L411" t="s">
        <v>55</v>
      </c>
    </row>
    <row r="412" spans="1:12" x14ac:dyDescent="0.3">
      <c r="A412" t="s">
        <v>15</v>
      </c>
      <c r="B412" s="7">
        <v>45809</v>
      </c>
      <c r="C412" t="s">
        <v>23</v>
      </c>
      <c r="D412" t="s">
        <v>27</v>
      </c>
      <c r="E412" t="s">
        <v>37</v>
      </c>
      <c r="F412" t="s">
        <v>43</v>
      </c>
      <c r="G412" t="s">
        <v>47</v>
      </c>
      <c r="H412">
        <v>22170.82</v>
      </c>
      <c r="I412">
        <v>18879.080000000002</v>
      </c>
      <c r="J412">
        <v>-3291.739999999998</v>
      </c>
      <c r="K412" s="1">
        <v>-14.847172995856708</v>
      </c>
      <c r="L412" t="s">
        <v>55</v>
      </c>
    </row>
    <row r="413" spans="1:12" x14ac:dyDescent="0.3">
      <c r="A413" t="s">
        <v>15</v>
      </c>
      <c r="B413" s="7">
        <v>45809</v>
      </c>
      <c r="C413" t="s">
        <v>23</v>
      </c>
      <c r="D413" t="s">
        <v>27</v>
      </c>
      <c r="E413" t="s">
        <v>37</v>
      </c>
      <c r="F413" t="s">
        <v>43</v>
      </c>
      <c r="G413" t="s">
        <v>48</v>
      </c>
      <c r="H413">
        <v>6650.7</v>
      </c>
      <c r="I413">
        <v>6526.96</v>
      </c>
      <c r="J413">
        <v>-123.73999999999978</v>
      </c>
      <c r="K413" s="1">
        <v>-1.8605560316959084</v>
      </c>
      <c r="L413" t="s">
        <v>55</v>
      </c>
    </row>
    <row r="414" spans="1:12" x14ac:dyDescent="0.3">
      <c r="A414" t="s">
        <v>15</v>
      </c>
      <c r="B414" s="7">
        <v>45809</v>
      </c>
      <c r="C414" t="s">
        <v>23</v>
      </c>
      <c r="D414" t="s">
        <v>27</v>
      </c>
      <c r="E414" t="s">
        <v>37</v>
      </c>
      <c r="F414" t="s">
        <v>43</v>
      </c>
      <c r="G414" t="s">
        <v>49</v>
      </c>
      <c r="H414">
        <v>3753.53</v>
      </c>
      <c r="I414">
        <v>4329.8900000000003</v>
      </c>
      <c r="J414">
        <v>576.36000000000013</v>
      </c>
      <c r="K414" s="1">
        <v>15.355145689524264</v>
      </c>
      <c r="L414" t="s">
        <v>55</v>
      </c>
    </row>
    <row r="415" spans="1:12" x14ac:dyDescent="0.3">
      <c r="A415" t="s">
        <v>15</v>
      </c>
      <c r="B415" s="7">
        <v>45809</v>
      </c>
      <c r="C415" t="s">
        <v>23</v>
      </c>
      <c r="D415" t="s">
        <v>27</v>
      </c>
      <c r="E415" t="s">
        <v>37</v>
      </c>
      <c r="F415" t="s">
        <v>43</v>
      </c>
      <c r="G415" t="s">
        <v>51</v>
      </c>
      <c r="H415">
        <v>5746.85</v>
      </c>
      <c r="I415">
        <v>5542.8</v>
      </c>
      <c r="J415">
        <v>-204.05000000000018</v>
      </c>
      <c r="K415" s="1">
        <v>-3.5506407858218005</v>
      </c>
      <c r="L415" t="s">
        <v>55</v>
      </c>
    </row>
    <row r="416" spans="1:12" x14ac:dyDescent="0.3">
      <c r="A416" t="s">
        <v>15</v>
      </c>
      <c r="B416" s="7">
        <v>45809</v>
      </c>
      <c r="C416" t="s">
        <v>24</v>
      </c>
      <c r="D416" t="s">
        <v>28</v>
      </c>
      <c r="E416" t="s">
        <v>38</v>
      </c>
      <c r="F416" t="s">
        <v>41</v>
      </c>
      <c r="G416" t="s">
        <v>45</v>
      </c>
      <c r="H416">
        <v>7751.25</v>
      </c>
      <c r="I416">
        <v>7745.3</v>
      </c>
      <c r="J416">
        <v>-5.9499999999998181</v>
      </c>
      <c r="K416" s="1">
        <v>-7.676181261086687E-2</v>
      </c>
      <c r="L416" t="s">
        <v>55</v>
      </c>
    </row>
    <row r="417" spans="1:12" x14ac:dyDescent="0.3">
      <c r="A417" t="s">
        <v>15</v>
      </c>
      <c r="B417" s="7">
        <v>45809</v>
      </c>
      <c r="C417" t="s">
        <v>24</v>
      </c>
      <c r="D417" t="s">
        <v>28</v>
      </c>
      <c r="E417" t="s">
        <v>38</v>
      </c>
      <c r="F417" t="s">
        <v>41</v>
      </c>
      <c r="G417" t="s">
        <v>46</v>
      </c>
      <c r="H417">
        <v>7962.87</v>
      </c>
      <c r="I417">
        <v>7957.33</v>
      </c>
      <c r="J417">
        <v>-5.5399999999999636</v>
      </c>
      <c r="K417" s="1">
        <v>-6.9572905246474748E-2</v>
      </c>
      <c r="L417" t="s">
        <v>55</v>
      </c>
    </row>
    <row r="418" spans="1:12" x14ac:dyDescent="0.3">
      <c r="A418" t="s">
        <v>15</v>
      </c>
      <c r="B418" s="7">
        <v>45809</v>
      </c>
      <c r="C418" t="s">
        <v>24</v>
      </c>
      <c r="D418" t="s">
        <v>28</v>
      </c>
      <c r="E418" t="s">
        <v>38</v>
      </c>
      <c r="F418" t="s">
        <v>41</v>
      </c>
      <c r="G418" t="s">
        <v>47</v>
      </c>
      <c r="H418">
        <v>15021.26</v>
      </c>
      <c r="I418">
        <v>13642.42</v>
      </c>
      <c r="J418">
        <v>-1378.8400000000001</v>
      </c>
      <c r="K418" s="1">
        <v>-9.1792566003118257</v>
      </c>
      <c r="L418" t="s">
        <v>55</v>
      </c>
    </row>
    <row r="419" spans="1:12" x14ac:dyDescent="0.3">
      <c r="A419" t="s">
        <v>15</v>
      </c>
      <c r="B419" s="7">
        <v>45809</v>
      </c>
      <c r="C419" t="s">
        <v>24</v>
      </c>
      <c r="D419" t="s">
        <v>28</v>
      </c>
      <c r="E419" t="s">
        <v>38</v>
      </c>
      <c r="F419" t="s">
        <v>41</v>
      </c>
      <c r="G419" t="s">
        <v>48</v>
      </c>
      <c r="H419">
        <v>7343.14</v>
      </c>
      <c r="I419">
        <v>7256.83</v>
      </c>
      <c r="J419">
        <v>-86.3100000000004</v>
      </c>
      <c r="K419" s="1">
        <v>-1.1753827381746826</v>
      </c>
      <c r="L419" t="s">
        <v>55</v>
      </c>
    </row>
    <row r="420" spans="1:12" x14ac:dyDescent="0.3">
      <c r="A420" t="s">
        <v>15</v>
      </c>
      <c r="B420" s="7">
        <v>45809</v>
      </c>
      <c r="C420" t="s">
        <v>24</v>
      </c>
      <c r="D420" t="s">
        <v>28</v>
      </c>
      <c r="E420" t="s">
        <v>38</v>
      </c>
      <c r="F420" t="s">
        <v>41</v>
      </c>
      <c r="G420" t="s">
        <v>49</v>
      </c>
      <c r="H420">
        <v>4546.18</v>
      </c>
      <c r="I420">
        <v>4407.93</v>
      </c>
      <c r="J420">
        <v>-138.25</v>
      </c>
      <c r="K420" s="1">
        <v>-3.0410146540612115</v>
      </c>
      <c r="L420" t="s">
        <v>55</v>
      </c>
    </row>
    <row r="421" spans="1:12" x14ac:dyDescent="0.3">
      <c r="A421" t="s">
        <v>15</v>
      </c>
      <c r="B421" s="7">
        <v>45809</v>
      </c>
      <c r="C421" t="s">
        <v>24</v>
      </c>
      <c r="D421" t="s">
        <v>28</v>
      </c>
      <c r="E421" t="s">
        <v>38</v>
      </c>
      <c r="F421" t="s">
        <v>41</v>
      </c>
      <c r="G421" t="s">
        <v>51</v>
      </c>
      <c r="H421">
        <v>6590.12</v>
      </c>
      <c r="I421">
        <v>6976.61</v>
      </c>
      <c r="J421">
        <v>386.48999999999978</v>
      </c>
      <c r="K421" s="1">
        <v>5.8646883516536841</v>
      </c>
      <c r="L421" t="s">
        <v>55</v>
      </c>
    </row>
    <row r="422" spans="1:12" x14ac:dyDescent="0.3">
      <c r="A422" t="s">
        <v>15</v>
      </c>
      <c r="B422" s="7">
        <v>45809</v>
      </c>
      <c r="C422" t="s">
        <v>24</v>
      </c>
      <c r="D422" t="s">
        <v>28</v>
      </c>
      <c r="E422" t="s">
        <v>39</v>
      </c>
      <c r="F422" t="s">
        <v>44</v>
      </c>
      <c r="G422" t="s">
        <v>45</v>
      </c>
      <c r="H422">
        <v>4926.07</v>
      </c>
      <c r="I422">
        <v>5265.81</v>
      </c>
      <c r="J422">
        <v>339.74000000000069</v>
      </c>
      <c r="K422" s="1">
        <v>6.8967757258829181</v>
      </c>
      <c r="L422" t="s">
        <v>55</v>
      </c>
    </row>
    <row r="423" spans="1:12" x14ac:dyDescent="0.3">
      <c r="A423" t="s">
        <v>15</v>
      </c>
      <c r="B423" s="7">
        <v>45809</v>
      </c>
      <c r="C423" t="s">
        <v>24</v>
      </c>
      <c r="D423" t="s">
        <v>28</v>
      </c>
      <c r="E423" t="s">
        <v>39</v>
      </c>
      <c r="F423" t="s">
        <v>44</v>
      </c>
      <c r="G423" t="s">
        <v>46</v>
      </c>
      <c r="H423">
        <v>7711.39</v>
      </c>
      <c r="I423">
        <v>9000.3799999999992</v>
      </c>
      <c r="J423">
        <v>1288.9899999999989</v>
      </c>
      <c r="K423" s="1">
        <v>16.715404097056417</v>
      </c>
      <c r="L423" t="s">
        <v>55</v>
      </c>
    </row>
    <row r="424" spans="1:12" x14ac:dyDescent="0.3">
      <c r="A424" t="s">
        <v>15</v>
      </c>
      <c r="B424" s="7">
        <v>45809</v>
      </c>
      <c r="C424" t="s">
        <v>24</v>
      </c>
      <c r="D424" t="s">
        <v>28</v>
      </c>
      <c r="E424" t="s">
        <v>39</v>
      </c>
      <c r="F424" t="s">
        <v>44</v>
      </c>
      <c r="G424" t="s">
        <v>47</v>
      </c>
      <c r="H424">
        <v>15105.56</v>
      </c>
      <c r="I424">
        <v>14906.56</v>
      </c>
      <c r="J424">
        <v>-199</v>
      </c>
      <c r="K424" s="1">
        <v>-1.3173957138960755</v>
      </c>
      <c r="L424" t="s">
        <v>55</v>
      </c>
    </row>
    <row r="425" spans="1:12" x14ac:dyDescent="0.3">
      <c r="A425" t="s">
        <v>15</v>
      </c>
      <c r="B425" s="7">
        <v>45809</v>
      </c>
      <c r="C425" t="s">
        <v>24</v>
      </c>
      <c r="D425" t="s">
        <v>28</v>
      </c>
      <c r="E425" t="s">
        <v>39</v>
      </c>
      <c r="F425" t="s">
        <v>44</v>
      </c>
      <c r="G425" t="s">
        <v>48</v>
      </c>
      <c r="H425">
        <v>5608.47</v>
      </c>
      <c r="I425">
        <v>6612.21</v>
      </c>
      <c r="J425">
        <v>1003.7399999999998</v>
      </c>
      <c r="K425" s="1">
        <v>17.896859571326935</v>
      </c>
      <c r="L425" t="s">
        <v>55</v>
      </c>
    </row>
    <row r="426" spans="1:12" x14ac:dyDescent="0.3">
      <c r="A426" t="s">
        <v>15</v>
      </c>
      <c r="B426" s="7">
        <v>45809</v>
      </c>
      <c r="C426" t="s">
        <v>24</v>
      </c>
      <c r="D426" t="s">
        <v>28</v>
      </c>
      <c r="E426" t="s">
        <v>39</v>
      </c>
      <c r="F426" t="s">
        <v>44</v>
      </c>
      <c r="G426" t="s">
        <v>49</v>
      </c>
      <c r="H426">
        <v>3679.61</v>
      </c>
      <c r="I426">
        <v>3850.63</v>
      </c>
      <c r="J426">
        <v>171.01999999999998</v>
      </c>
      <c r="K426" s="1">
        <v>4.6477751718252742</v>
      </c>
      <c r="L426" t="s">
        <v>55</v>
      </c>
    </row>
    <row r="427" spans="1:12" x14ac:dyDescent="0.3">
      <c r="A427" t="s">
        <v>15</v>
      </c>
      <c r="B427" s="7">
        <v>45809</v>
      </c>
      <c r="C427" t="s">
        <v>24</v>
      </c>
      <c r="D427" t="s">
        <v>28</v>
      </c>
      <c r="E427" t="s">
        <v>39</v>
      </c>
      <c r="F427" t="s">
        <v>44</v>
      </c>
      <c r="G427" t="s">
        <v>51</v>
      </c>
      <c r="H427">
        <v>4741.4799999999996</v>
      </c>
      <c r="I427">
        <v>5203.71</v>
      </c>
      <c r="J427">
        <v>462.23000000000047</v>
      </c>
      <c r="K427" s="1">
        <v>9.7486438833444513</v>
      </c>
      <c r="L427" t="s">
        <v>55</v>
      </c>
    </row>
    <row r="428" spans="1:12" x14ac:dyDescent="0.3">
      <c r="A428" t="s">
        <v>15</v>
      </c>
      <c r="B428" s="7">
        <v>45809</v>
      </c>
      <c r="C428" t="s">
        <v>24</v>
      </c>
      <c r="D428" t="s">
        <v>28</v>
      </c>
      <c r="E428" t="s">
        <v>40</v>
      </c>
      <c r="F428" t="s">
        <v>43</v>
      </c>
      <c r="G428" t="s">
        <v>45</v>
      </c>
      <c r="H428">
        <v>5693.63</v>
      </c>
      <c r="I428">
        <v>6526.94</v>
      </c>
      <c r="J428">
        <v>833.30999999999949</v>
      </c>
      <c r="K428" s="1">
        <v>14.635829866008143</v>
      </c>
      <c r="L428" t="s">
        <v>55</v>
      </c>
    </row>
    <row r="429" spans="1:12" x14ac:dyDescent="0.3">
      <c r="A429" t="s">
        <v>15</v>
      </c>
      <c r="B429" s="7">
        <v>45809</v>
      </c>
      <c r="C429" t="s">
        <v>24</v>
      </c>
      <c r="D429" t="s">
        <v>28</v>
      </c>
      <c r="E429" t="s">
        <v>40</v>
      </c>
      <c r="F429" t="s">
        <v>43</v>
      </c>
      <c r="G429" t="s">
        <v>46</v>
      </c>
      <c r="H429">
        <v>7857.75</v>
      </c>
      <c r="I429">
        <v>7173.56</v>
      </c>
      <c r="J429">
        <v>-684.1899999999996</v>
      </c>
      <c r="K429" s="1">
        <v>-8.7071998981896801</v>
      </c>
      <c r="L429" t="s">
        <v>55</v>
      </c>
    </row>
    <row r="430" spans="1:12" x14ac:dyDescent="0.3">
      <c r="A430" t="s">
        <v>15</v>
      </c>
      <c r="B430" s="7">
        <v>45809</v>
      </c>
      <c r="C430" t="s">
        <v>24</v>
      </c>
      <c r="D430" t="s">
        <v>28</v>
      </c>
      <c r="E430" t="s">
        <v>40</v>
      </c>
      <c r="F430" t="s">
        <v>43</v>
      </c>
      <c r="G430" t="s">
        <v>47</v>
      </c>
      <c r="H430">
        <v>13894.74</v>
      </c>
      <c r="I430">
        <v>13975.08</v>
      </c>
      <c r="J430">
        <v>80.340000000000146</v>
      </c>
      <c r="K430" s="1">
        <v>0.57820441404445244</v>
      </c>
      <c r="L430" t="s">
        <v>55</v>
      </c>
    </row>
    <row r="431" spans="1:12" x14ac:dyDescent="0.3">
      <c r="A431" t="s">
        <v>15</v>
      </c>
      <c r="B431" s="7">
        <v>45809</v>
      </c>
      <c r="C431" t="s">
        <v>24</v>
      </c>
      <c r="D431" t="s">
        <v>28</v>
      </c>
      <c r="E431" t="s">
        <v>40</v>
      </c>
      <c r="F431" t="s">
        <v>43</v>
      </c>
      <c r="G431" t="s">
        <v>48</v>
      </c>
      <c r="H431">
        <v>7622.33</v>
      </c>
      <c r="I431">
        <v>6644.26</v>
      </c>
      <c r="J431">
        <v>-978.06999999999971</v>
      </c>
      <c r="K431" s="1">
        <v>-12.831640718782836</v>
      </c>
      <c r="L431" t="s">
        <v>55</v>
      </c>
    </row>
    <row r="432" spans="1:12" x14ac:dyDescent="0.3">
      <c r="A432" t="s">
        <v>15</v>
      </c>
      <c r="B432" s="7">
        <v>45809</v>
      </c>
      <c r="C432" t="s">
        <v>24</v>
      </c>
      <c r="D432" t="s">
        <v>28</v>
      </c>
      <c r="E432" t="s">
        <v>40</v>
      </c>
      <c r="F432" t="s">
        <v>43</v>
      </c>
      <c r="G432" t="s">
        <v>49</v>
      </c>
      <c r="H432">
        <v>4253.6099999999997</v>
      </c>
      <c r="I432">
        <v>4251.84</v>
      </c>
      <c r="J432">
        <v>-1.7699999999995271</v>
      </c>
      <c r="K432" s="1">
        <v>-4.1611713344653772E-2</v>
      </c>
      <c r="L432" t="s">
        <v>55</v>
      </c>
    </row>
    <row r="433" spans="1:12" x14ac:dyDescent="0.3">
      <c r="A433" t="s">
        <v>15</v>
      </c>
      <c r="B433" s="7">
        <v>45809</v>
      </c>
      <c r="C433" t="s">
        <v>24</v>
      </c>
      <c r="D433" t="s">
        <v>28</v>
      </c>
      <c r="E433" t="s">
        <v>40</v>
      </c>
      <c r="F433" t="s">
        <v>43</v>
      </c>
      <c r="G433" t="s">
        <v>51</v>
      </c>
      <c r="H433">
        <v>6387.8</v>
      </c>
      <c r="I433">
        <v>6358.75</v>
      </c>
      <c r="J433">
        <v>-29.050000000000182</v>
      </c>
      <c r="K433" s="1">
        <v>-0.45477316133880491</v>
      </c>
      <c r="L433" t="s">
        <v>55</v>
      </c>
    </row>
    <row r="434" spans="1:12" x14ac:dyDescent="0.3">
      <c r="A434" t="s">
        <v>16</v>
      </c>
      <c r="B434" s="7">
        <v>45839</v>
      </c>
      <c r="C434" t="s">
        <v>21</v>
      </c>
      <c r="D434" t="s">
        <v>25</v>
      </c>
      <c r="E434" t="s">
        <v>29</v>
      </c>
      <c r="F434" t="s">
        <v>41</v>
      </c>
      <c r="G434" t="s">
        <v>45</v>
      </c>
      <c r="H434">
        <v>6437.98</v>
      </c>
      <c r="I434">
        <v>6661.25</v>
      </c>
      <c r="J434">
        <v>223.27000000000044</v>
      </c>
      <c r="K434" s="1">
        <v>3.4680132588172139</v>
      </c>
      <c r="L434" t="s">
        <v>55</v>
      </c>
    </row>
    <row r="435" spans="1:12" x14ac:dyDescent="0.3">
      <c r="A435" t="s">
        <v>16</v>
      </c>
      <c r="B435" s="7">
        <v>45839</v>
      </c>
      <c r="C435" t="s">
        <v>21</v>
      </c>
      <c r="D435" t="s">
        <v>25</v>
      </c>
      <c r="E435" t="s">
        <v>29</v>
      </c>
      <c r="F435" t="s">
        <v>41</v>
      </c>
      <c r="G435" t="s">
        <v>46</v>
      </c>
      <c r="H435">
        <v>7588.3</v>
      </c>
      <c r="I435">
        <v>6905.63</v>
      </c>
      <c r="J435">
        <v>-682.67000000000007</v>
      </c>
      <c r="K435" s="1">
        <v>-8.9963496435301717</v>
      </c>
      <c r="L435" t="s">
        <v>55</v>
      </c>
    </row>
    <row r="436" spans="1:12" x14ac:dyDescent="0.3">
      <c r="A436" t="s">
        <v>16</v>
      </c>
      <c r="B436" s="7">
        <v>45839</v>
      </c>
      <c r="C436" t="s">
        <v>21</v>
      </c>
      <c r="D436" t="s">
        <v>25</v>
      </c>
      <c r="E436" t="s">
        <v>29</v>
      </c>
      <c r="F436" t="s">
        <v>41</v>
      </c>
      <c r="G436" t="s">
        <v>47</v>
      </c>
      <c r="H436">
        <v>22807.279999999999</v>
      </c>
      <c r="I436">
        <v>26507.040000000001</v>
      </c>
      <c r="J436">
        <v>3699.760000000002</v>
      </c>
      <c r="K436" s="1">
        <v>16.221837939464955</v>
      </c>
      <c r="L436" t="s">
        <v>55</v>
      </c>
    </row>
    <row r="437" spans="1:12" x14ac:dyDescent="0.3">
      <c r="A437" t="s">
        <v>16</v>
      </c>
      <c r="B437" s="7">
        <v>45839</v>
      </c>
      <c r="C437" t="s">
        <v>21</v>
      </c>
      <c r="D437" t="s">
        <v>25</v>
      </c>
      <c r="E437" t="s">
        <v>29</v>
      </c>
      <c r="F437" t="s">
        <v>41</v>
      </c>
      <c r="G437" t="s">
        <v>48</v>
      </c>
      <c r="H437">
        <v>6817.9</v>
      </c>
      <c r="I437">
        <v>6404.36</v>
      </c>
      <c r="J437">
        <v>-413.53999999999996</v>
      </c>
      <c r="K437" s="1">
        <v>-6.0655040408336882</v>
      </c>
      <c r="L437" t="s">
        <v>55</v>
      </c>
    </row>
    <row r="438" spans="1:12" x14ac:dyDescent="0.3">
      <c r="A438" t="s">
        <v>16</v>
      </c>
      <c r="B438" s="7">
        <v>45839</v>
      </c>
      <c r="C438" t="s">
        <v>21</v>
      </c>
      <c r="D438" t="s">
        <v>25</v>
      </c>
      <c r="E438" t="s">
        <v>29</v>
      </c>
      <c r="F438" t="s">
        <v>41</v>
      </c>
      <c r="G438" t="s">
        <v>49</v>
      </c>
      <c r="H438">
        <v>3977.4</v>
      </c>
      <c r="I438">
        <v>3917.27</v>
      </c>
      <c r="J438">
        <v>-60.130000000000109</v>
      </c>
      <c r="K438" s="1">
        <v>-1.5117916226680774</v>
      </c>
      <c r="L438" t="s">
        <v>55</v>
      </c>
    </row>
    <row r="439" spans="1:12" x14ac:dyDescent="0.3">
      <c r="A439" t="s">
        <v>16</v>
      </c>
      <c r="B439" s="7">
        <v>45839</v>
      </c>
      <c r="C439" t="s">
        <v>21</v>
      </c>
      <c r="D439" t="s">
        <v>25</v>
      </c>
      <c r="E439" t="s">
        <v>29</v>
      </c>
      <c r="F439" t="s">
        <v>41</v>
      </c>
      <c r="G439" t="s">
        <v>51</v>
      </c>
      <c r="H439">
        <v>4591.3900000000003</v>
      </c>
      <c r="I439">
        <v>4139.28</v>
      </c>
      <c r="J439">
        <v>-452.11000000000058</v>
      </c>
      <c r="K439" s="1">
        <v>-9.8469091059570317</v>
      </c>
      <c r="L439" t="s">
        <v>55</v>
      </c>
    </row>
    <row r="440" spans="1:12" x14ac:dyDescent="0.3">
      <c r="A440" t="s">
        <v>16</v>
      </c>
      <c r="B440" s="7">
        <v>45839</v>
      </c>
      <c r="C440" t="s">
        <v>21</v>
      </c>
      <c r="D440" t="s">
        <v>25</v>
      </c>
      <c r="E440" t="s">
        <v>30</v>
      </c>
      <c r="F440" t="s">
        <v>42</v>
      </c>
      <c r="G440" t="s">
        <v>45</v>
      </c>
      <c r="H440">
        <v>7667.29</v>
      </c>
      <c r="I440">
        <v>8184.41</v>
      </c>
      <c r="J440">
        <v>517.11999999999989</v>
      </c>
      <c r="K440" s="1">
        <v>6.7444951214835998</v>
      </c>
      <c r="L440" t="s">
        <v>55</v>
      </c>
    </row>
    <row r="441" spans="1:12" x14ac:dyDescent="0.3">
      <c r="A441" t="s">
        <v>16</v>
      </c>
      <c r="B441" s="7">
        <v>45839</v>
      </c>
      <c r="C441" t="s">
        <v>21</v>
      </c>
      <c r="D441" t="s">
        <v>25</v>
      </c>
      <c r="E441" t="s">
        <v>30</v>
      </c>
      <c r="F441" t="s">
        <v>42</v>
      </c>
      <c r="G441" t="s">
        <v>46</v>
      </c>
      <c r="H441">
        <v>6896.32</v>
      </c>
      <c r="I441">
        <v>6367.03</v>
      </c>
      <c r="J441">
        <v>-529.29</v>
      </c>
      <c r="K441" s="1">
        <v>-7.6749628787527255</v>
      </c>
      <c r="L441" t="s">
        <v>55</v>
      </c>
    </row>
    <row r="442" spans="1:12" x14ac:dyDescent="0.3">
      <c r="A442" t="s">
        <v>16</v>
      </c>
      <c r="B442" s="7">
        <v>45839</v>
      </c>
      <c r="C442" t="s">
        <v>21</v>
      </c>
      <c r="D442" t="s">
        <v>25</v>
      </c>
      <c r="E442" t="s">
        <v>30</v>
      </c>
      <c r="F442" t="s">
        <v>42</v>
      </c>
      <c r="G442" t="s">
        <v>47</v>
      </c>
      <c r="H442">
        <v>15995.61</v>
      </c>
      <c r="I442">
        <v>17142.89</v>
      </c>
      <c r="J442">
        <v>1147.2799999999988</v>
      </c>
      <c r="K442" s="1">
        <v>7.172467945892647</v>
      </c>
      <c r="L442" t="s">
        <v>55</v>
      </c>
    </row>
    <row r="443" spans="1:12" x14ac:dyDescent="0.3">
      <c r="A443" t="s">
        <v>16</v>
      </c>
      <c r="B443" s="7">
        <v>45839</v>
      </c>
      <c r="C443" t="s">
        <v>21</v>
      </c>
      <c r="D443" t="s">
        <v>25</v>
      </c>
      <c r="E443" t="s">
        <v>30</v>
      </c>
      <c r="F443" t="s">
        <v>42</v>
      </c>
      <c r="G443" t="s">
        <v>48</v>
      </c>
      <c r="H443">
        <v>5332.78</v>
      </c>
      <c r="I443">
        <v>4716.08</v>
      </c>
      <c r="J443">
        <v>-616.69999999999982</v>
      </c>
      <c r="K443" s="1">
        <v>-11.564324798697861</v>
      </c>
      <c r="L443" t="s">
        <v>55</v>
      </c>
    </row>
    <row r="444" spans="1:12" x14ac:dyDescent="0.3">
      <c r="A444" t="s">
        <v>16</v>
      </c>
      <c r="B444" s="7">
        <v>45839</v>
      </c>
      <c r="C444" t="s">
        <v>21</v>
      </c>
      <c r="D444" t="s">
        <v>25</v>
      </c>
      <c r="E444" t="s">
        <v>30</v>
      </c>
      <c r="F444" t="s">
        <v>42</v>
      </c>
      <c r="G444" t="s">
        <v>49</v>
      </c>
      <c r="H444">
        <v>4304.82</v>
      </c>
      <c r="I444">
        <v>3912.74</v>
      </c>
      <c r="J444">
        <v>-392.07999999999993</v>
      </c>
      <c r="K444" s="1">
        <v>-9.1079301805882693</v>
      </c>
      <c r="L444" t="s">
        <v>55</v>
      </c>
    </row>
    <row r="445" spans="1:12" x14ac:dyDescent="0.3">
      <c r="A445" t="s">
        <v>16</v>
      </c>
      <c r="B445" s="7">
        <v>45839</v>
      </c>
      <c r="C445" t="s">
        <v>21</v>
      </c>
      <c r="D445" t="s">
        <v>25</v>
      </c>
      <c r="E445" t="s">
        <v>30</v>
      </c>
      <c r="F445" t="s">
        <v>42</v>
      </c>
      <c r="G445" t="s">
        <v>51</v>
      </c>
      <c r="H445">
        <v>6849.89</v>
      </c>
      <c r="I445">
        <v>6360.81</v>
      </c>
      <c r="J445">
        <v>-489.07999999999993</v>
      </c>
      <c r="K445" s="1">
        <v>-7.1399686710297523</v>
      </c>
      <c r="L445" t="s">
        <v>55</v>
      </c>
    </row>
    <row r="446" spans="1:12" x14ac:dyDescent="0.3">
      <c r="A446" t="s">
        <v>16</v>
      </c>
      <c r="B446" s="7">
        <v>45839</v>
      </c>
      <c r="C446" t="s">
        <v>21</v>
      </c>
      <c r="D446" t="s">
        <v>25</v>
      </c>
      <c r="E446" t="s">
        <v>31</v>
      </c>
      <c r="F446" t="s">
        <v>43</v>
      </c>
      <c r="G446" t="s">
        <v>45</v>
      </c>
      <c r="H446">
        <v>5262.82</v>
      </c>
      <c r="I446">
        <v>4895.72</v>
      </c>
      <c r="J446">
        <v>-367.09999999999945</v>
      </c>
      <c r="K446" s="1">
        <v>-6.9753478173298618</v>
      </c>
      <c r="L446" t="s">
        <v>55</v>
      </c>
    </row>
    <row r="447" spans="1:12" x14ac:dyDescent="0.3">
      <c r="A447" t="s">
        <v>16</v>
      </c>
      <c r="B447" s="7">
        <v>45839</v>
      </c>
      <c r="C447" t="s">
        <v>21</v>
      </c>
      <c r="D447" t="s">
        <v>25</v>
      </c>
      <c r="E447" t="s">
        <v>31</v>
      </c>
      <c r="F447" t="s">
        <v>43</v>
      </c>
      <c r="G447" t="s">
        <v>46</v>
      </c>
      <c r="H447">
        <v>10650.24</v>
      </c>
      <c r="I447">
        <v>12060.12</v>
      </c>
      <c r="J447">
        <v>1409.880000000001</v>
      </c>
      <c r="K447" s="1">
        <v>13.238011537768173</v>
      </c>
      <c r="L447" t="s">
        <v>55</v>
      </c>
    </row>
    <row r="448" spans="1:12" x14ac:dyDescent="0.3">
      <c r="A448" t="s">
        <v>16</v>
      </c>
      <c r="B448" s="7">
        <v>45839</v>
      </c>
      <c r="C448" t="s">
        <v>21</v>
      </c>
      <c r="D448" t="s">
        <v>25</v>
      </c>
      <c r="E448" t="s">
        <v>31</v>
      </c>
      <c r="F448" t="s">
        <v>43</v>
      </c>
      <c r="G448" t="s">
        <v>47</v>
      </c>
      <c r="H448">
        <v>22466.37</v>
      </c>
      <c r="I448">
        <v>22041.1</v>
      </c>
      <c r="J448">
        <v>-425.27000000000044</v>
      </c>
      <c r="K448" s="1">
        <v>-1.8929181705811864</v>
      </c>
      <c r="L448" t="s">
        <v>55</v>
      </c>
    </row>
    <row r="449" spans="1:12" x14ac:dyDescent="0.3">
      <c r="A449" t="s">
        <v>16</v>
      </c>
      <c r="B449" s="7">
        <v>45839</v>
      </c>
      <c r="C449" t="s">
        <v>21</v>
      </c>
      <c r="D449" t="s">
        <v>25</v>
      </c>
      <c r="E449" t="s">
        <v>31</v>
      </c>
      <c r="F449" t="s">
        <v>43</v>
      </c>
      <c r="G449" t="s">
        <v>48</v>
      </c>
      <c r="H449">
        <v>8055.96</v>
      </c>
      <c r="I449">
        <v>7392.51</v>
      </c>
      <c r="J449">
        <v>-663.44999999999982</v>
      </c>
      <c r="K449" s="1">
        <v>-8.2355175547048365</v>
      </c>
      <c r="L449" t="s">
        <v>55</v>
      </c>
    </row>
    <row r="450" spans="1:12" x14ac:dyDescent="0.3">
      <c r="A450" t="s">
        <v>16</v>
      </c>
      <c r="B450" s="7">
        <v>45839</v>
      </c>
      <c r="C450" t="s">
        <v>21</v>
      </c>
      <c r="D450" t="s">
        <v>25</v>
      </c>
      <c r="E450" t="s">
        <v>31</v>
      </c>
      <c r="F450" t="s">
        <v>43</v>
      </c>
      <c r="G450" t="s">
        <v>49</v>
      </c>
      <c r="H450">
        <v>3240.61</v>
      </c>
      <c r="I450">
        <v>3713.06</v>
      </c>
      <c r="J450">
        <v>472.44999999999982</v>
      </c>
      <c r="K450" s="1">
        <v>14.579045303199084</v>
      </c>
      <c r="L450" t="s">
        <v>55</v>
      </c>
    </row>
    <row r="451" spans="1:12" x14ac:dyDescent="0.3">
      <c r="A451" t="s">
        <v>16</v>
      </c>
      <c r="B451" s="7">
        <v>45839</v>
      </c>
      <c r="C451" t="s">
        <v>21</v>
      </c>
      <c r="D451" t="s">
        <v>25</v>
      </c>
      <c r="E451" t="s">
        <v>31</v>
      </c>
      <c r="F451" t="s">
        <v>43</v>
      </c>
      <c r="G451" t="s">
        <v>51</v>
      </c>
      <c r="H451">
        <v>4546.8100000000004</v>
      </c>
      <c r="I451">
        <v>3993.09</v>
      </c>
      <c r="J451">
        <v>-553.72000000000025</v>
      </c>
      <c r="K451" s="1">
        <v>-12.178208458237757</v>
      </c>
      <c r="L451" t="s">
        <v>55</v>
      </c>
    </row>
    <row r="452" spans="1:12" x14ac:dyDescent="0.3">
      <c r="A452" t="s">
        <v>16</v>
      </c>
      <c r="B452" s="7">
        <v>45839</v>
      </c>
      <c r="C452" t="s">
        <v>22</v>
      </c>
      <c r="D452" t="s">
        <v>26</v>
      </c>
      <c r="E452" t="s">
        <v>32</v>
      </c>
      <c r="F452" t="s">
        <v>41</v>
      </c>
      <c r="G452" t="s">
        <v>45</v>
      </c>
      <c r="H452">
        <v>5685.76</v>
      </c>
      <c r="I452">
        <v>4882.68</v>
      </c>
      <c r="J452">
        <v>-803.07999999999993</v>
      </c>
      <c r="K452" s="1">
        <v>-14.124409049977485</v>
      </c>
      <c r="L452" t="s">
        <v>55</v>
      </c>
    </row>
    <row r="453" spans="1:12" x14ac:dyDescent="0.3">
      <c r="A453" t="s">
        <v>16</v>
      </c>
      <c r="B453" s="7">
        <v>45839</v>
      </c>
      <c r="C453" t="s">
        <v>22</v>
      </c>
      <c r="D453" t="s">
        <v>26</v>
      </c>
      <c r="E453" t="s">
        <v>32</v>
      </c>
      <c r="F453" t="s">
        <v>41</v>
      </c>
      <c r="G453" t="s">
        <v>46</v>
      </c>
      <c r="H453">
        <v>7729.75</v>
      </c>
      <c r="I453">
        <v>8057.52</v>
      </c>
      <c r="J453">
        <v>327.77000000000044</v>
      </c>
      <c r="K453" s="1">
        <v>4.2403699990297286</v>
      </c>
      <c r="L453" t="s">
        <v>55</v>
      </c>
    </row>
    <row r="454" spans="1:12" x14ac:dyDescent="0.3">
      <c r="A454" t="s">
        <v>16</v>
      </c>
      <c r="B454" s="7">
        <v>45839</v>
      </c>
      <c r="C454" t="s">
        <v>22</v>
      </c>
      <c r="D454" t="s">
        <v>26</v>
      </c>
      <c r="E454" t="s">
        <v>32</v>
      </c>
      <c r="F454" t="s">
        <v>41</v>
      </c>
      <c r="G454" t="s">
        <v>47</v>
      </c>
      <c r="H454">
        <v>18051.39</v>
      </c>
      <c r="I454">
        <v>20661.28</v>
      </c>
      <c r="J454">
        <v>2609.8899999999994</v>
      </c>
      <c r="K454" s="1">
        <v>14.458110982035175</v>
      </c>
      <c r="L454" t="s">
        <v>55</v>
      </c>
    </row>
    <row r="455" spans="1:12" x14ac:dyDescent="0.3">
      <c r="A455" t="s">
        <v>16</v>
      </c>
      <c r="B455" s="7">
        <v>45839</v>
      </c>
      <c r="C455" t="s">
        <v>22</v>
      </c>
      <c r="D455" t="s">
        <v>26</v>
      </c>
      <c r="E455" t="s">
        <v>32</v>
      </c>
      <c r="F455" t="s">
        <v>41</v>
      </c>
      <c r="G455" t="s">
        <v>48</v>
      </c>
      <c r="H455">
        <v>8683.26</v>
      </c>
      <c r="I455">
        <v>8360.24</v>
      </c>
      <c r="J455">
        <v>-323.02000000000044</v>
      </c>
      <c r="K455" s="1">
        <v>-3.7200314167720467</v>
      </c>
      <c r="L455" t="s">
        <v>55</v>
      </c>
    </row>
    <row r="456" spans="1:12" x14ac:dyDescent="0.3">
      <c r="A456" t="s">
        <v>16</v>
      </c>
      <c r="B456" s="7">
        <v>45839</v>
      </c>
      <c r="C456" t="s">
        <v>22</v>
      </c>
      <c r="D456" t="s">
        <v>26</v>
      </c>
      <c r="E456" t="s">
        <v>32</v>
      </c>
      <c r="F456" t="s">
        <v>41</v>
      </c>
      <c r="G456" t="s">
        <v>49</v>
      </c>
      <c r="H456">
        <v>3169.79</v>
      </c>
      <c r="I456">
        <v>3091.49</v>
      </c>
      <c r="J456">
        <v>-78.300000000000182</v>
      </c>
      <c r="K456" s="1">
        <v>-2.4701951864319143</v>
      </c>
      <c r="L456" t="s">
        <v>55</v>
      </c>
    </row>
    <row r="457" spans="1:12" x14ac:dyDescent="0.3">
      <c r="A457" t="s">
        <v>16</v>
      </c>
      <c r="B457" s="7">
        <v>45839</v>
      </c>
      <c r="C457" t="s">
        <v>22</v>
      </c>
      <c r="D457" t="s">
        <v>26</v>
      </c>
      <c r="E457" t="s">
        <v>32</v>
      </c>
      <c r="F457" t="s">
        <v>41</v>
      </c>
      <c r="G457" t="s">
        <v>51</v>
      </c>
      <c r="H457">
        <v>6625.06</v>
      </c>
      <c r="I457">
        <v>6217.36</v>
      </c>
      <c r="J457">
        <v>-407.70000000000073</v>
      </c>
      <c r="K457" s="1">
        <v>-6.1539065306578458</v>
      </c>
      <c r="L457" t="s">
        <v>55</v>
      </c>
    </row>
    <row r="458" spans="1:12" x14ac:dyDescent="0.3">
      <c r="A458" t="s">
        <v>16</v>
      </c>
      <c r="B458" s="7">
        <v>45839</v>
      </c>
      <c r="C458" t="s">
        <v>22</v>
      </c>
      <c r="D458" t="s">
        <v>26</v>
      </c>
      <c r="E458" t="s">
        <v>33</v>
      </c>
      <c r="F458" t="s">
        <v>42</v>
      </c>
      <c r="G458" t="s">
        <v>45</v>
      </c>
      <c r="H458">
        <v>7309.18</v>
      </c>
      <c r="I458">
        <v>7200.32</v>
      </c>
      <c r="J458">
        <v>-108.86000000000058</v>
      </c>
      <c r="K458" s="1">
        <v>-1.4893599555627386</v>
      </c>
      <c r="L458" t="s">
        <v>55</v>
      </c>
    </row>
    <row r="459" spans="1:12" x14ac:dyDescent="0.3">
      <c r="A459" t="s">
        <v>16</v>
      </c>
      <c r="B459" s="7">
        <v>45839</v>
      </c>
      <c r="C459" t="s">
        <v>22</v>
      </c>
      <c r="D459" t="s">
        <v>26</v>
      </c>
      <c r="E459" t="s">
        <v>33</v>
      </c>
      <c r="F459" t="s">
        <v>42</v>
      </c>
      <c r="G459" t="s">
        <v>46</v>
      </c>
      <c r="H459">
        <v>9731.0499999999993</v>
      </c>
      <c r="I459">
        <v>9671.91</v>
      </c>
      <c r="J459">
        <v>-59.139999999999418</v>
      </c>
      <c r="K459" s="1">
        <v>-0.607745310115552</v>
      </c>
      <c r="L459" t="s">
        <v>55</v>
      </c>
    </row>
    <row r="460" spans="1:12" x14ac:dyDescent="0.3">
      <c r="A460" t="s">
        <v>16</v>
      </c>
      <c r="B460" s="7">
        <v>45839</v>
      </c>
      <c r="C460" t="s">
        <v>22</v>
      </c>
      <c r="D460" t="s">
        <v>26</v>
      </c>
      <c r="E460" t="s">
        <v>33</v>
      </c>
      <c r="F460" t="s">
        <v>42</v>
      </c>
      <c r="G460" t="s">
        <v>47</v>
      </c>
      <c r="H460">
        <v>16680.23</v>
      </c>
      <c r="I460">
        <v>19398.93</v>
      </c>
      <c r="J460">
        <v>2718.7000000000007</v>
      </c>
      <c r="K460" s="1">
        <v>16.298935925943471</v>
      </c>
      <c r="L460" t="s">
        <v>55</v>
      </c>
    </row>
    <row r="461" spans="1:12" x14ac:dyDescent="0.3">
      <c r="A461" t="s">
        <v>16</v>
      </c>
      <c r="B461" s="7">
        <v>45839</v>
      </c>
      <c r="C461" t="s">
        <v>22</v>
      </c>
      <c r="D461" t="s">
        <v>26</v>
      </c>
      <c r="E461" t="s">
        <v>33</v>
      </c>
      <c r="F461" t="s">
        <v>42</v>
      </c>
      <c r="G461" t="s">
        <v>48</v>
      </c>
      <c r="H461">
        <v>8457.14</v>
      </c>
      <c r="I461">
        <v>7579.61</v>
      </c>
      <c r="J461">
        <v>-877.52999999999975</v>
      </c>
      <c r="K461" s="1">
        <v>-10.376202829798251</v>
      </c>
      <c r="L461" t="s">
        <v>55</v>
      </c>
    </row>
    <row r="462" spans="1:12" x14ac:dyDescent="0.3">
      <c r="A462" t="s">
        <v>16</v>
      </c>
      <c r="B462" s="7">
        <v>45839</v>
      </c>
      <c r="C462" t="s">
        <v>22</v>
      </c>
      <c r="D462" t="s">
        <v>26</v>
      </c>
      <c r="E462" t="s">
        <v>33</v>
      </c>
      <c r="F462" t="s">
        <v>42</v>
      </c>
      <c r="G462" t="s">
        <v>49</v>
      </c>
      <c r="H462">
        <v>4448.78</v>
      </c>
      <c r="I462">
        <v>4497.0600000000004</v>
      </c>
      <c r="J462">
        <v>48.280000000000655</v>
      </c>
      <c r="K462" s="1">
        <v>1.0852413470659521</v>
      </c>
      <c r="L462" t="s">
        <v>55</v>
      </c>
    </row>
    <row r="463" spans="1:12" x14ac:dyDescent="0.3">
      <c r="A463" t="s">
        <v>16</v>
      </c>
      <c r="B463" s="7">
        <v>45839</v>
      </c>
      <c r="C463" t="s">
        <v>22</v>
      </c>
      <c r="D463" t="s">
        <v>26</v>
      </c>
      <c r="E463" t="s">
        <v>33</v>
      </c>
      <c r="F463" t="s">
        <v>42</v>
      </c>
      <c r="G463" t="s">
        <v>51</v>
      </c>
      <c r="H463">
        <v>7720.39</v>
      </c>
      <c r="I463">
        <v>8600.14</v>
      </c>
      <c r="J463">
        <v>879.74999999999909</v>
      </c>
      <c r="K463" s="1">
        <v>11.395149726892024</v>
      </c>
      <c r="L463" t="s">
        <v>55</v>
      </c>
    </row>
    <row r="464" spans="1:12" x14ac:dyDescent="0.3">
      <c r="A464" t="s">
        <v>16</v>
      </c>
      <c r="B464" s="7">
        <v>45839</v>
      </c>
      <c r="C464" t="s">
        <v>22</v>
      </c>
      <c r="D464" t="s">
        <v>26</v>
      </c>
      <c r="E464" t="s">
        <v>34</v>
      </c>
      <c r="F464" t="s">
        <v>43</v>
      </c>
      <c r="G464" t="s">
        <v>45</v>
      </c>
      <c r="H464">
        <v>6533.33</v>
      </c>
      <c r="I464">
        <v>5601.78</v>
      </c>
      <c r="J464">
        <v>-931.55000000000018</v>
      </c>
      <c r="K464" s="1">
        <v>-14.258425642053901</v>
      </c>
      <c r="L464" t="s">
        <v>55</v>
      </c>
    </row>
    <row r="465" spans="1:12" x14ac:dyDescent="0.3">
      <c r="A465" t="s">
        <v>16</v>
      </c>
      <c r="B465" s="7">
        <v>45839</v>
      </c>
      <c r="C465" t="s">
        <v>22</v>
      </c>
      <c r="D465" t="s">
        <v>26</v>
      </c>
      <c r="E465" t="s">
        <v>34</v>
      </c>
      <c r="F465" t="s">
        <v>43</v>
      </c>
      <c r="G465" t="s">
        <v>46</v>
      </c>
      <c r="H465">
        <v>8200.86</v>
      </c>
      <c r="I465">
        <v>8436.5400000000009</v>
      </c>
      <c r="J465">
        <v>235.68000000000029</v>
      </c>
      <c r="K465" s="1">
        <v>2.8738449382138005</v>
      </c>
      <c r="L465" t="s">
        <v>55</v>
      </c>
    </row>
    <row r="466" spans="1:12" x14ac:dyDescent="0.3">
      <c r="A466" t="s">
        <v>16</v>
      </c>
      <c r="B466" s="7">
        <v>45839</v>
      </c>
      <c r="C466" t="s">
        <v>22</v>
      </c>
      <c r="D466" t="s">
        <v>26</v>
      </c>
      <c r="E466" t="s">
        <v>34</v>
      </c>
      <c r="F466" t="s">
        <v>43</v>
      </c>
      <c r="G466" t="s">
        <v>47</v>
      </c>
      <c r="H466">
        <v>20341.560000000001</v>
      </c>
      <c r="I466">
        <v>19021.46</v>
      </c>
      <c r="J466">
        <v>-1320.1000000000022</v>
      </c>
      <c r="K466" s="1">
        <v>-6.4896694255504599</v>
      </c>
      <c r="L466" t="s">
        <v>55</v>
      </c>
    </row>
    <row r="467" spans="1:12" x14ac:dyDescent="0.3">
      <c r="A467" t="s">
        <v>16</v>
      </c>
      <c r="B467" s="7">
        <v>45839</v>
      </c>
      <c r="C467" t="s">
        <v>22</v>
      </c>
      <c r="D467" t="s">
        <v>26</v>
      </c>
      <c r="E467" t="s">
        <v>34</v>
      </c>
      <c r="F467" t="s">
        <v>43</v>
      </c>
      <c r="G467" t="s">
        <v>48</v>
      </c>
      <c r="H467">
        <v>5835.3</v>
      </c>
      <c r="I467">
        <v>6567.78</v>
      </c>
      <c r="J467">
        <v>732.47999999999956</v>
      </c>
      <c r="K467" s="1">
        <v>12.552567991362903</v>
      </c>
      <c r="L467" t="s">
        <v>55</v>
      </c>
    </row>
    <row r="468" spans="1:12" x14ac:dyDescent="0.3">
      <c r="A468" t="s">
        <v>16</v>
      </c>
      <c r="B468" s="7">
        <v>45839</v>
      </c>
      <c r="C468" t="s">
        <v>22</v>
      </c>
      <c r="D468" t="s">
        <v>26</v>
      </c>
      <c r="E468" t="s">
        <v>34</v>
      </c>
      <c r="F468" t="s">
        <v>43</v>
      </c>
      <c r="G468" t="s">
        <v>49</v>
      </c>
      <c r="H468">
        <v>4692.24</v>
      </c>
      <c r="I468">
        <v>4802.41</v>
      </c>
      <c r="J468">
        <v>110.17000000000007</v>
      </c>
      <c r="K468" s="1">
        <v>2.3479191175216969</v>
      </c>
      <c r="L468" t="s">
        <v>55</v>
      </c>
    </row>
    <row r="469" spans="1:12" x14ac:dyDescent="0.3">
      <c r="A469" t="s">
        <v>16</v>
      </c>
      <c r="B469" s="7">
        <v>45839</v>
      </c>
      <c r="C469" t="s">
        <v>22</v>
      </c>
      <c r="D469" t="s">
        <v>26</v>
      </c>
      <c r="E469" t="s">
        <v>34</v>
      </c>
      <c r="F469" t="s">
        <v>43</v>
      </c>
      <c r="G469" t="s">
        <v>51</v>
      </c>
      <c r="H469">
        <v>5118.05</v>
      </c>
      <c r="I469">
        <v>4810.25</v>
      </c>
      <c r="J469">
        <v>-307.80000000000018</v>
      </c>
      <c r="K469" s="1">
        <v>-6.0140092418010802</v>
      </c>
      <c r="L469" t="s">
        <v>55</v>
      </c>
    </row>
    <row r="470" spans="1:12" x14ac:dyDescent="0.3">
      <c r="A470" t="s">
        <v>16</v>
      </c>
      <c r="B470" s="7">
        <v>45839</v>
      </c>
      <c r="C470" t="s">
        <v>23</v>
      </c>
      <c r="D470" t="s">
        <v>27</v>
      </c>
      <c r="E470" t="s">
        <v>35</v>
      </c>
      <c r="F470" t="s">
        <v>41</v>
      </c>
      <c r="G470" t="s">
        <v>45</v>
      </c>
      <c r="H470">
        <v>4946.72</v>
      </c>
      <c r="I470">
        <v>5697.23</v>
      </c>
      <c r="J470">
        <v>750.50999999999931</v>
      </c>
      <c r="K470" s="1">
        <v>15.171871462302278</v>
      </c>
      <c r="L470" t="s">
        <v>55</v>
      </c>
    </row>
    <row r="471" spans="1:12" x14ac:dyDescent="0.3">
      <c r="A471" t="s">
        <v>16</v>
      </c>
      <c r="B471" s="7">
        <v>45839</v>
      </c>
      <c r="C471" t="s">
        <v>23</v>
      </c>
      <c r="D471" t="s">
        <v>27</v>
      </c>
      <c r="E471" t="s">
        <v>35</v>
      </c>
      <c r="F471" t="s">
        <v>41</v>
      </c>
      <c r="G471" t="s">
        <v>46</v>
      </c>
      <c r="H471">
        <v>7385.86</v>
      </c>
      <c r="I471">
        <v>7683.14</v>
      </c>
      <c r="J471">
        <v>297.28000000000065</v>
      </c>
      <c r="K471" s="1">
        <v>4.0249882884322297</v>
      </c>
      <c r="L471" t="s">
        <v>55</v>
      </c>
    </row>
    <row r="472" spans="1:12" x14ac:dyDescent="0.3">
      <c r="A472" t="s">
        <v>16</v>
      </c>
      <c r="B472" s="7">
        <v>45839</v>
      </c>
      <c r="C472" t="s">
        <v>23</v>
      </c>
      <c r="D472" t="s">
        <v>27</v>
      </c>
      <c r="E472" t="s">
        <v>35</v>
      </c>
      <c r="F472" t="s">
        <v>41</v>
      </c>
      <c r="G472" t="s">
        <v>47</v>
      </c>
      <c r="H472">
        <v>16459.8</v>
      </c>
      <c r="I472">
        <v>17000.97</v>
      </c>
      <c r="J472">
        <v>541.17000000000189</v>
      </c>
      <c r="K472" s="1">
        <v>3.2878285276856456</v>
      </c>
      <c r="L472" t="s">
        <v>55</v>
      </c>
    </row>
    <row r="473" spans="1:12" x14ac:dyDescent="0.3">
      <c r="A473" t="s">
        <v>16</v>
      </c>
      <c r="B473" s="7">
        <v>45839</v>
      </c>
      <c r="C473" t="s">
        <v>23</v>
      </c>
      <c r="D473" t="s">
        <v>27</v>
      </c>
      <c r="E473" t="s">
        <v>35</v>
      </c>
      <c r="F473" t="s">
        <v>41</v>
      </c>
      <c r="G473" t="s">
        <v>48</v>
      </c>
      <c r="H473">
        <v>7985.97</v>
      </c>
      <c r="I473">
        <v>8974.75</v>
      </c>
      <c r="J473">
        <v>988.77999999999975</v>
      </c>
      <c r="K473" s="1">
        <v>12.381463992476803</v>
      </c>
      <c r="L473" t="s">
        <v>55</v>
      </c>
    </row>
    <row r="474" spans="1:12" x14ac:dyDescent="0.3">
      <c r="A474" t="s">
        <v>16</v>
      </c>
      <c r="B474" s="7">
        <v>45839</v>
      </c>
      <c r="C474" t="s">
        <v>23</v>
      </c>
      <c r="D474" t="s">
        <v>27</v>
      </c>
      <c r="E474" t="s">
        <v>35</v>
      </c>
      <c r="F474" t="s">
        <v>41</v>
      </c>
      <c r="G474" t="s">
        <v>49</v>
      </c>
      <c r="H474">
        <v>3058.48</v>
      </c>
      <c r="I474">
        <v>2610.81</v>
      </c>
      <c r="J474">
        <v>-447.67000000000007</v>
      </c>
      <c r="K474" s="1">
        <v>-14.637009233344669</v>
      </c>
      <c r="L474" t="s">
        <v>55</v>
      </c>
    </row>
    <row r="475" spans="1:12" x14ac:dyDescent="0.3">
      <c r="A475" t="s">
        <v>16</v>
      </c>
      <c r="B475" s="7">
        <v>45839</v>
      </c>
      <c r="C475" t="s">
        <v>23</v>
      </c>
      <c r="D475" t="s">
        <v>27</v>
      </c>
      <c r="E475" t="s">
        <v>35</v>
      </c>
      <c r="F475" t="s">
        <v>41</v>
      </c>
      <c r="G475" t="s">
        <v>51</v>
      </c>
      <c r="H475">
        <v>4992.79</v>
      </c>
      <c r="I475">
        <v>5726.76</v>
      </c>
      <c r="J475">
        <v>733.97000000000025</v>
      </c>
      <c r="K475" s="1">
        <v>14.700598262694811</v>
      </c>
      <c r="L475" t="s">
        <v>55</v>
      </c>
    </row>
    <row r="476" spans="1:12" x14ac:dyDescent="0.3">
      <c r="A476" t="s">
        <v>16</v>
      </c>
      <c r="B476" s="7">
        <v>45839</v>
      </c>
      <c r="C476" t="s">
        <v>23</v>
      </c>
      <c r="D476" t="s">
        <v>27</v>
      </c>
      <c r="E476" t="s">
        <v>36</v>
      </c>
      <c r="F476" t="s">
        <v>44</v>
      </c>
      <c r="G476" t="s">
        <v>45</v>
      </c>
      <c r="H476">
        <v>8283.17</v>
      </c>
      <c r="I476">
        <v>8673.69</v>
      </c>
      <c r="J476">
        <v>390.52000000000044</v>
      </c>
      <c r="K476" s="1">
        <v>4.714620127318411</v>
      </c>
      <c r="L476" t="s">
        <v>55</v>
      </c>
    </row>
    <row r="477" spans="1:12" x14ac:dyDescent="0.3">
      <c r="A477" t="s">
        <v>16</v>
      </c>
      <c r="B477" s="7">
        <v>45839</v>
      </c>
      <c r="C477" t="s">
        <v>23</v>
      </c>
      <c r="D477" t="s">
        <v>27</v>
      </c>
      <c r="E477" t="s">
        <v>36</v>
      </c>
      <c r="F477" t="s">
        <v>44</v>
      </c>
      <c r="G477" t="s">
        <v>46</v>
      </c>
      <c r="H477">
        <v>9992.7900000000009</v>
      </c>
      <c r="I477">
        <v>10686.91</v>
      </c>
      <c r="J477">
        <v>694.11999999999898</v>
      </c>
      <c r="K477" s="1">
        <v>6.9462082161238143</v>
      </c>
      <c r="L477" t="s">
        <v>55</v>
      </c>
    </row>
    <row r="478" spans="1:12" x14ac:dyDescent="0.3">
      <c r="A478" t="s">
        <v>16</v>
      </c>
      <c r="B478" s="7">
        <v>45839</v>
      </c>
      <c r="C478" t="s">
        <v>23</v>
      </c>
      <c r="D478" t="s">
        <v>27</v>
      </c>
      <c r="E478" t="s">
        <v>36</v>
      </c>
      <c r="F478" t="s">
        <v>44</v>
      </c>
      <c r="G478" t="s">
        <v>47</v>
      </c>
      <c r="H478">
        <v>15394.01</v>
      </c>
      <c r="I478">
        <v>17730.14</v>
      </c>
      <c r="J478">
        <v>2336.1299999999992</v>
      </c>
      <c r="K478" s="1">
        <v>15.175578033273975</v>
      </c>
      <c r="L478" t="s">
        <v>55</v>
      </c>
    </row>
    <row r="479" spans="1:12" x14ac:dyDescent="0.3">
      <c r="A479" t="s">
        <v>16</v>
      </c>
      <c r="B479" s="7">
        <v>45839</v>
      </c>
      <c r="C479" t="s">
        <v>23</v>
      </c>
      <c r="D479" t="s">
        <v>27</v>
      </c>
      <c r="E479" t="s">
        <v>36</v>
      </c>
      <c r="F479" t="s">
        <v>44</v>
      </c>
      <c r="G479" t="s">
        <v>48</v>
      </c>
      <c r="H479">
        <v>7008.84</v>
      </c>
      <c r="I479">
        <v>6843.68</v>
      </c>
      <c r="J479">
        <v>-165.15999999999985</v>
      </c>
      <c r="K479" s="1">
        <v>-2.3564527082940949</v>
      </c>
      <c r="L479" t="s">
        <v>55</v>
      </c>
    </row>
    <row r="480" spans="1:12" x14ac:dyDescent="0.3">
      <c r="A480" t="s">
        <v>16</v>
      </c>
      <c r="B480" s="7">
        <v>45839</v>
      </c>
      <c r="C480" t="s">
        <v>23</v>
      </c>
      <c r="D480" t="s">
        <v>27</v>
      </c>
      <c r="E480" t="s">
        <v>36</v>
      </c>
      <c r="F480" t="s">
        <v>44</v>
      </c>
      <c r="G480" t="s">
        <v>49</v>
      </c>
      <c r="H480">
        <v>3714.73</v>
      </c>
      <c r="I480">
        <v>3215.09</v>
      </c>
      <c r="J480">
        <v>-499.63999999999987</v>
      </c>
      <c r="K480" s="1">
        <v>-13.450237298538518</v>
      </c>
      <c r="L480" t="s">
        <v>55</v>
      </c>
    </row>
    <row r="481" spans="1:12" x14ac:dyDescent="0.3">
      <c r="A481" t="s">
        <v>16</v>
      </c>
      <c r="B481" s="7">
        <v>45839</v>
      </c>
      <c r="C481" t="s">
        <v>23</v>
      </c>
      <c r="D481" t="s">
        <v>27</v>
      </c>
      <c r="E481" t="s">
        <v>36</v>
      </c>
      <c r="F481" t="s">
        <v>44</v>
      </c>
      <c r="G481" t="s">
        <v>51</v>
      </c>
      <c r="H481">
        <v>5098.62</v>
      </c>
      <c r="I481">
        <v>5575.6</v>
      </c>
      <c r="J481">
        <v>476.98000000000047</v>
      </c>
      <c r="K481" s="1">
        <v>9.3550803943027816</v>
      </c>
      <c r="L481" t="s">
        <v>55</v>
      </c>
    </row>
    <row r="482" spans="1:12" x14ac:dyDescent="0.3">
      <c r="A482" t="s">
        <v>16</v>
      </c>
      <c r="B482" s="7">
        <v>45839</v>
      </c>
      <c r="C482" t="s">
        <v>23</v>
      </c>
      <c r="D482" t="s">
        <v>27</v>
      </c>
      <c r="E482" t="s">
        <v>37</v>
      </c>
      <c r="F482" t="s">
        <v>43</v>
      </c>
      <c r="G482" t="s">
        <v>45</v>
      </c>
      <c r="H482">
        <v>5197.91</v>
      </c>
      <c r="I482">
        <v>5452.82</v>
      </c>
      <c r="J482">
        <v>254.90999999999985</v>
      </c>
      <c r="K482" s="1">
        <v>4.9040864501309152</v>
      </c>
      <c r="L482" t="s">
        <v>55</v>
      </c>
    </row>
    <row r="483" spans="1:12" x14ac:dyDescent="0.3">
      <c r="A483" t="s">
        <v>16</v>
      </c>
      <c r="B483" s="7">
        <v>45839</v>
      </c>
      <c r="C483" t="s">
        <v>23</v>
      </c>
      <c r="D483" t="s">
        <v>27</v>
      </c>
      <c r="E483" t="s">
        <v>37</v>
      </c>
      <c r="F483" t="s">
        <v>43</v>
      </c>
      <c r="G483" t="s">
        <v>46</v>
      </c>
      <c r="H483">
        <v>8074.89</v>
      </c>
      <c r="I483">
        <v>7901.01</v>
      </c>
      <c r="J483">
        <v>-173.88000000000011</v>
      </c>
      <c r="K483" s="1">
        <v>-2.1533420269502135</v>
      </c>
      <c r="L483" t="s">
        <v>55</v>
      </c>
    </row>
    <row r="484" spans="1:12" x14ac:dyDescent="0.3">
      <c r="A484" t="s">
        <v>16</v>
      </c>
      <c r="B484" s="7">
        <v>45839</v>
      </c>
      <c r="C484" t="s">
        <v>23</v>
      </c>
      <c r="D484" t="s">
        <v>27</v>
      </c>
      <c r="E484" t="s">
        <v>37</v>
      </c>
      <c r="F484" t="s">
        <v>43</v>
      </c>
      <c r="G484" t="s">
        <v>47</v>
      </c>
      <c r="H484">
        <v>16617.89</v>
      </c>
      <c r="I484">
        <v>16075.68</v>
      </c>
      <c r="J484">
        <v>-542.20999999999913</v>
      </c>
      <c r="K484" s="1">
        <v>-3.2628089366339479</v>
      </c>
      <c r="L484" t="s">
        <v>55</v>
      </c>
    </row>
    <row r="485" spans="1:12" x14ac:dyDescent="0.3">
      <c r="A485" t="s">
        <v>16</v>
      </c>
      <c r="B485" s="7">
        <v>45839</v>
      </c>
      <c r="C485" t="s">
        <v>23</v>
      </c>
      <c r="D485" t="s">
        <v>27</v>
      </c>
      <c r="E485" t="s">
        <v>37</v>
      </c>
      <c r="F485" t="s">
        <v>43</v>
      </c>
      <c r="G485" t="s">
        <v>48</v>
      </c>
      <c r="H485">
        <v>8269.99</v>
      </c>
      <c r="I485">
        <v>7840.37</v>
      </c>
      <c r="J485">
        <v>-429.61999999999989</v>
      </c>
      <c r="K485" s="1">
        <v>-5.1949276843140071</v>
      </c>
      <c r="L485" t="s">
        <v>55</v>
      </c>
    </row>
    <row r="486" spans="1:12" x14ac:dyDescent="0.3">
      <c r="A486" t="s">
        <v>16</v>
      </c>
      <c r="B486" s="7">
        <v>45839</v>
      </c>
      <c r="C486" t="s">
        <v>23</v>
      </c>
      <c r="D486" t="s">
        <v>27</v>
      </c>
      <c r="E486" t="s">
        <v>37</v>
      </c>
      <c r="F486" t="s">
        <v>43</v>
      </c>
      <c r="G486" t="s">
        <v>49</v>
      </c>
      <c r="H486">
        <v>3814.45</v>
      </c>
      <c r="I486">
        <v>3841.52</v>
      </c>
      <c r="J486">
        <v>27.070000000000164</v>
      </c>
      <c r="K486" s="1">
        <v>0.70966980822923786</v>
      </c>
      <c r="L486" t="s">
        <v>55</v>
      </c>
    </row>
    <row r="487" spans="1:12" x14ac:dyDescent="0.3">
      <c r="A487" t="s">
        <v>16</v>
      </c>
      <c r="B487" s="7">
        <v>45839</v>
      </c>
      <c r="C487" t="s">
        <v>23</v>
      </c>
      <c r="D487" t="s">
        <v>27</v>
      </c>
      <c r="E487" t="s">
        <v>37</v>
      </c>
      <c r="F487" t="s">
        <v>43</v>
      </c>
      <c r="G487" t="s">
        <v>51</v>
      </c>
      <c r="H487">
        <v>6889.22</v>
      </c>
      <c r="I487">
        <v>7985.66</v>
      </c>
      <c r="J487">
        <v>1096.4399999999996</v>
      </c>
      <c r="K487" s="1">
        <v>15.915299554956869</v>
      </c>
      <c r="L487" t="s">
        <v>55</v>
      </c>
    </row>
    <row r="488" spans="1:12" x14ac:dyDescent="0.3">
      <c r="A488" t="s">
        <v>16</v>
      </c>
      <c r="B488" s="7">
        <v>45839</v>
      </c>
      <c r="C488" t="s">
        <v>24</v>
      </c>
      <c r="D488" t="s">
        <v>28</v>
      </c>
      <c r="E488" t="s">
        <v>38</v>
      </c>
      <c r="F488" t="s">
        <v>41</v>
      </c>
      <c r="G488" t="s">
        <v>45</v>
      </c>
      <c r="H488">
        <v>7732.03</v>
      </c>
      <c r="I488">
        <v>7120.66</v>
      </c>
      <c r="J488">
        <v>-611.36999999999989</v>
      </c>
      <c r="K488" s="1">
        <v>-7.9069791503654274</v>
      </c>
      <c r="L488" t="s">
        <v>55</v>
      </c>
    </row>
    <row r="489" spans="1:12" x14ac:dyDescent="0.3">
      <c r="A489" t="s">
        <v>16</v>
      </c>
      <c r="B489" s="7">
        <v>45839</v>
      </c>
      <c r="C489" t="s">
        <v>24</v>
      </c>
      <c r="D489" t="s">
        <v>28</v>
      </c>
      <c r="E489" t="s">
        <v>38</v>
      </c>
      <c r="F489" t="s">
        <v>41</v>
      </c>
      <c r="G489" t="s">
        <v>46</v>
      </c>
      <c r="H489">
        <v>6918.39</v>
      </c>
      <c r="I489">
        <v>6479.4</v>
      </c>
      <c r="J489">
        <v>-438.99000000000069</v>
      </c>
      <c r="K489" s="1">
        <v>-6.3452624093177841</v>
      </c>
      <c r="L489" t="s">
        <v>55</v>
      </c>
    </row>
    <row r="490" spans="1:12" x14ac:dyDescent="0.3">
      <c r="A490" t="s">
        <v>16</v>
      </c>
      <c r="B490" s="7">
        <v>45839</v>
      </c>
      <c r="C490" t="s">
        <v>24</v>
      </c>
      <c r="D490" t="s">
        <v>28</v>
      </c>
      <c r="E490" t="s">
        <v>38</v>
      </c>
      <c r="F490" t="s">
        <v>41</v>
      </c>
      <c r="G490" t="s">
        <v>47</v>
      </c>
      <c r="H490">
        <v>19926.84</v>
      </c>
      <c r="I490">
        <v>17275.98</v>
      </c>
      <c r="J490">
        <v>-2650.8600000000006</v>
      </c>
      <c r="K490" s="1">
        <v>-13.302962235858773</v>
      </c>
      <c r="L490" t="s">
        <v>55</v>
      </c>
    </row>
    <row r="491" spans="1:12" x14ac:dyDescent="0.3">
      <c r="A491" t="s">
        <v>16</v>
      </c>
      <c r="B491" s="7">
        <v>45839</v>
      </c>
      <c r="C491" t="s">
        <v>24</v>
      </c>
      <c r="D491" t="s">
        <v>28</v>
      </c>
      <c r="E491" t="s">
        <v>38</v>
      </c>
      <c r="F491" t="s">
        <v>41</v>
      </c>
      <c r="G491" t="s">
        <v>48</v>
      </c>
      <c r="H491">
        <v>7334.74</v>
      </c>
      <c r="I491">
        <v>7679.16</v>
      </c>
      <c r="J491">
        <v>344.42000000000007</v>
      </c>
      <c r="K491" s="1">
        <v>4.6957356361643363</v>
      </c>
      <c r="L491" t="s">
        <v>55</v>
      </c>
    </row>
    <row r="492" spans="1:12" x14ac:dyDescent="0.3">
      <c r="A492" t="s">
        <v>16</v>
      </c>
      <c r="B492" s="7">
        <v>45839</v>
      </c>
      <c r="C492" t="s">
        <v>24</v>
      </c>
      <c r="D492" t="s">
        <v>28</v>
      </c>
      <c r="E492" t="s">
        <v>38</v>
      </c>
      <c r="F492" t="s">
        <v>41</v>
      </c>
      <c r="G492" t="s">
        <v>49</v>
      </c>
      <c r="H492">
        <v>3326.91</v>
      </c>
      <c r="I492">
        <v>3674.25</v>
      </c>
      <c r="J492">
        <v>347.34000000000015</v>
      </c>
      <c r="K492" s="1">
        <v>10.440318493737436</v>
      </c>
      <c r="L492" t="s">
        <v>55</v>
      </c>
    </row>
    <row r="493" spans="1:12" x14ac:dyDescent="0.3">
      <c r="A493" t="s">
        <v>16</v>
      </c>
      <c r="B493" s="7">
        <v>45839</v>
      </c>
      <c r="C493" t="s">
        <v>24</v>
      </c>
      <c r="D493" t="s">
        <v>28</v>
      </c>
      <c r="E493" t="s">
        <v>38</v>
      </c>
      <c r="F493" t="s">
        <v>41</v>
      </c>
      <c r="G493" t="s">
        <v>51</v>
      </c>
      <c r="H493">
        <v>4883.75</v>
      </c>
      <c r="I493">
        <v>4272.29</v>
      </c>
      <c r="J493">
        <v>-611.46</v>
      </c>
      <c r="K493" s="1">
        <v>-12.520296902994627</v>
      </c>
      <c r="L493" t="s">
        <v>55</v>
      </c>
    </row>
    <row r="494" spans="1:12" x14ac:dyDescent="0.3">
      <c r="A494" t="s">
        <v>16</v>
      </c>
      <c r="B494" s="7">
        <v>45839</v>
      </c>
      <c r="C494" t="s">
        <v>24</v>
      </c>
      <c r="D494" t="s">
        <v>28</v>
      </c>
      <c r="E494" t="s">
        <v>39</v>
      </c>
      <c r="F494" t="s">
        <v>44</v>
      </c>
      <c r="G494" t="s">
        <v>45</v>
      </c>
      <c r="H494">
        <v>7714.94</v>
      </c>
      <c r="I494">
        <v>7819.18</v>
      </c>
      <c r="J494">
        <v>104.24000000000069</v>
      </c>
      <c r="K494" s="1">
        <v>1.3511446621749579</v>
      </c>
      <c r="L494" t="s">
        <v>55</v>
      </c>
    </row>
    <row r="495" spans="1:12" x14ac:dyDescent="0.3">
      <c r="A495" t="s">
        <v>16</v>
      </c>
      <c r="B495" s="7">
        <v>45839</v>
      </c>
      <c r="C495" t="s">
        <v>24</v>
      </c>
      <c r="D495" t="s">
        <v>28</v>
      </c>
      <c r="E495" t="s">
        <v>39</v>
      </c>
      <c r="F495" t="s">
        <v>44</v>
      </c>
      <c r="G495" t="s">
        <v>46</v>
      </c>
      <c r="H495">
        <v>10467.370000000001</v>
      </c>
      <c r="I495">
        <v>10399.26</v>
      </c>
      <c r="J495">
        <v>-68.110000000000582</v>
      </c>
      <c r="K495" s="1">
        <v>-0.65068875944960936</v>
      </c>
      <c r="L495" t="s">
        <v>55</v>
      </c>
    </row>
    <row r="496" spans="1:12" x14ac:dyDescent="0.3">
      <c r="A496" t="s">
        <v>16</v>
      </c>
      <c r="B496" s="7">
        <v>45839</v>
      </c>
      <c r="C496" t="s">
        <v>24</v>
      </c>
      <c r="D496" t="s">
        <v>28</v>
      </c>
      <c r="E496" t="s">
        <v>39</v>
      </c>
      <c r="F496" t="s">
        <v>44</v>
      </c>
      <c r="G496" t="s">
        <v>47</v>
      </c>
      <c r="H496">
        <v>16161.14</v>
      </c>
      <c r="I496">
        <v>18105.39</v>
      </c>
      <c r="J496">
        <v>1944.25</v>
      </c>
      <c r="K496" s="1">
        <v>12.030401320698912</v>
      </c>
      <c r="L496" t="s">
        <v>55</v>
      </c>
    </row>
    <row r="497" spans="1:12" x14ac:dyDescent="0.3">
      <c r="A497" t="s">
        <v>16</v>
      </c>
      <c r="B497" s="7">
        <v>45839</v>
      </c>
      <c r="C497" t="s">
        <v>24</v>
      </c>
      <c r="D497" t="s">
        <v>28</v>
      </c>
      <c r="E497" t="s">
        <v>39</v>
      </c>
      <c r="F497" t="s">
        <v>44</v>
      </c>
      <c r="G497" t="s">
        <v>48</v>
      </c>
      <c r="H497">
        <v>8607.5499999999993</v>
      </c>
      <c r="I497">
        <v>9289.69</v>
      </c>
      <c r="J497">
        <v>682.14000000000124</v>
      </c>
      <c r="K497" s="1">
        <v>7.9249031373619827</v>
      </c>
      <c r="L497" t="s">
        <v>55</v>
      </c>
    </row>
    <row r="498" spans="1:12" x14ac:dyDescent="0.3">
      <c r="A498" t="s">
        <v>16</v>
      </c>
      <c r="B498" s="7">
        <v>45839</v>
      </c>
      <c r="C498" t="s">
        <v>24</v>
      </c>
      <c r="D498" t="s">
        <v>28</v>
      </c>
      <c r="E498" t="s">
        <v>39</v>
      </c>
      <c r="F498" t="s">
        <v>44</v>
      </c>
      <c r="G498" t="s">
        <v>49</v>
      </c>
      <c r="H498">
        <v>3196.5</v>
      </c>
      <c r="I498">
        <v>3339.63</v>
      </c>
      <c r="J498">
        <v>143.13000000000011</v>
      </c>
      <c r="K498" s="1">
        <v>4.4777099953073707</v>
      </c>
      <c r="L498" t="s">
        <v>55</v>
      </c>
    </row>
    <row r="499" spans="1:12" x14ac:dyDescent="0.3">
      <c r="A499" t="s">
        <v>16</v>
      </c>
      <c r="B499" s="7">
        <v>45839</v>
      </c>
      <c r="C499" t="s">
        <v>24</v>
      </c>
      <c r="D499" t="s">
        <v>28</v>
      </c>
      <c r="E499" t="s">
        <v>39</v>
      </c>
      <c r="F499" t="s">
        <v>44</v>
      </c>
      <c r="G499" t="s">
        <v>51</v>
      </c>
      <c r="H499">
        <v>5799.51</v>
      </c>
      <c r="I499">
        <v>5104.8500000000004</v>
      </c>
      <c r="J499">
        <v>-694.65999999999985</v>
      </c>
      <c r="K499" s="1">
        <v>-11.977908478474902</v>
      </c>
      <c r="L499" t="s">
        <v>55</v>
      </c>
    </row>
    <row r="500" spans="1:12" x14ac:dyDescent="0.3">
      <c r="A500" t="s">
        <v>16</v>
      </c>
      <c r="B500" s="7">
        <v>45839</v>
      </c>
      <c r="C500" t="s">
        <v>24</v>
      </c>
      <c r="D500" t="s">
        <v>28</v>
      </c>
      <c r="E500" t="s">
        <v>40</v>
      </c>
      <c r="F500" t="s">
        <v>43</v>
      </c>
      <c r="G500" t="s">
        <v>45</v>
      </c>
      <c r="H500">
        <v>8452.52</v>
      </c>
      <c r="I500">
        <v>7566.28</v>
      </c>
      <c r="J500">
        <v>-886.24000000000069</v>
      </c>
      <c r="K500" s="1">
        <v>-10.484920473420951</v>
      </c>
      <c r="L500" t="s">
        <v>55</v>
      </c>
    </row>
    <row r="501" spans="1:12" x14ac:dyDescent="0.3">
      <c r="A501" t="s">
        <v>16</v>
      </c>
      <c r="B501" s="7">
        <v>45839</v>
      </c>
      <c r="C501" t="s">
        <v>24</v>
      </c>
      <c r="D501" t="s">
        <v>28</v>
      </c>
      <c r="E501" t="s">
        <v>40</v>
      </c>
      <c r="F501" t="s">
        <v>43</v>
      </c>
      <c r="G501" t="s">
        <v>46</v>
      </c>
      <c r="H501">
        <v>11881.28</v>
      </c>
      <c r="I501">
        <v>11847.8</v>
      </c>
      <c r="J501">
        <v>-33.480000000001382</v>
      </c>
      <c r="K501" s="1">
        <v>-0.28178782084086379</v>
      </c>
      <c r="L501" t="s">
        <v>55</v>
      </c>
    </row>
    <row r="502" spans="1:12" x14ac:dyDescent="0.3">
      <c r="A502" t="s">
        <v>16</v>
      </c>
      <c r="B502" s="7">
        <v>45839</v>
      </c>
      <c r="C502" t="s">
        <v>24</v>
      </c>
      <c r="D502" t="s">
        <v>28</v>
      </c>
      <c r="E502" t="s">
        <v>40</v>
      </c>
      <c r="F502" t="s">
        <v>43</v>
      </c>
      <c r="G502" t="s">
        <v>47</v>
      </c>
      <c r="H502">
        <v>15499.44</v>
      </c>
      <c r="I502">
        <v>15946.24</v>
      </c>
      <c r="J502">
        <v>446.79999999999927</v>
      </c>
      <c r="K502" s="1">
        <v>2.8826847937731896</v>
      </c>
      <c r="L502" t="s">
        <v>55</v>
      </c>
    </row>
    <row r="503" spans="1:12" x14ac:dyDescent="0.3">
      <c r="A503" t="s">
        <v>16</v>
      </c>
      <c r="B503" s="7">
        <v>45839</v>
      </c>
      <c r="C503" t="s">
        <v>24</v>
      </c>
      <c r="D503" t="s">
        <v>28</v>
      </c>
      <c r="E503" t="s">
        <v>40</v>
      </c>
      <c r="F503" t="s">
        <v>43</v>
      </c>
      <c r="G503" t="s">
        <v>48</v>
      </c>
      <c r="H503">
        <v>8916.3700000000008</v>
      </c>
      <c r="I503">
        <v>9733.42</v>
      </c>
      <c r="J503">
        <v>817.04999999999927</v>
      </c>
      <c r="K503" s="1">
        <v>9.163482448574916</v>
      </c>
      <c r="L503" t="s">
        <v>55</v>
      </c>
    </row>
    <row r="504" spans="1:12" x14ac:dyDescent="0.3">
      <c r="A504" t="s">
        <v>16</v>
      </c>
      <c r="B504" s="7">
        <v>45839</v>
      </c>
      <c r="C504" t="s">
        <v>24</v>
      </c>
      <c r="D504" t="s">
        <v>28</v>
      </c>
      <c r="E504" t="s">
        <v>40</v>
      </c>
      <c r="F504" t="s">
        <v>43</v>
      </c>
      <c r="G504" t="s">
        <v>49</v>
      </c>
      <c r="H504">
        <v>4318.78</v>
      </c>
      <c r="I504">
        <v>4609.8599999999997</v>
      </c>
      <c r="J504">
        <v>291.07999999999993</v>
      </c>
      <c r="K504" s="1">
        <v>6.7398663511454613</v>
      </c>
      <c r="L504" t="s">
        <v>55</v>
      </c>
    </row>
    <row r="505" spans="1:12" x14ac:dyDescent="0.3">
      <c r="A505" t="s">
        <v>16</v>
      </c>
      <c r="B505" s="7">
        <v>45839</v>
      </c>
      <c r="C505" t="s">
        <v>24</v>
      </c>
      <c r="D505" t="s">
        <v>28</v>
      </c>
      <c r="E505" t="s">
        <v>40</v>
      </c>
      <c r="F505" t="s">
        <v>43</v>
      </c>
      <c r="G505" t="s">
        <v>51</v>
      </c>
      <c r="H505">
        <v>6992.2</v>
      </c>
      <c r="I505">
        <v>7902.82</v>
      </c>
      <c r="J505">
        <v>910.61999999999989</v>
      </c>
      <c r="K505" s="1">
        <v>13.023368896770688</v>
      </c>
      <c r="L505" t="s">
        <v>55</v>
      </c>
    </row>
    <row r="506" spans="1:12" x14ac:dyDescent="0.3">
      <c r="A506" t="s">
        <v>11</v>
      </c>
      <c r="B506" s="7">
        <v>45870</v>
      </c>
      <c r="C506" t="s">
        <v>21</v>
      </c>
      <c r="D506" t="s">
        <v>25</v>
      </c>
      <c r="E506" t="s">
        <v>29</v>
      </c>
      <c r="F506" t="s">
        <v>41</v>
      </c>
      <c r="G506" t="s">
        <v>45</v>
      </c>
      <c r="H506">
        <v>5848.71</v>
      </c>
      <c r="I506">
        <v>5916.03</v>
      </c>
      <c r="J506">
        <v>67.319999999999709</v>
      </c>
      <c r="K506" s="1">
        <v>1.1510230461075983</v>
      </c>
      <c r="L506" t="s">
        <v>55</v>
      </c>
    </row>
    <row r="507" spans="1:12" x14ac:dyDescent="0.3">
      <c r="A507" t="s">
        <v>11</v>
      </c>
      <c r="B507" s="7">
        <v>45870</v>
      </c>
      <c r="C507" t="s">
        <v>21</v>
      </c>
      <c r="D507" t="s">
        <v>25</v>
      </c>
      <c r="E507" t="s">
        <v>29</v>
      </c>
      <c r="F507" t="s">
        <v>41</v>
      </c>
      <c r="G507" t="s">
        <v>46</v>
      </c>
      <c r="H507">
        <v>7944.53</v>
      </c>
      <c r="I507">
        <v>9342.2199999999993</v>
      </c>
      <c r="J507">
        <v>1397.6899999999996</v>
      </c>
      <c r="K507" s="1">
        <v>17.593111235025859</v>
      </c>
      <c r="L507" t="s">
        <v>55</v>
      </c>
    </row>
    <row r="508" spans="1:12" x14ac:dyDescent="0.3">
      <c r="A508" t="s">
        <v>11</v>
      </c>
      <c r="B508" s="7">
        <v>45870</v>
      </c>
      <c r="C508" t="s">
        <v>21</v>
      </c>
      <c r="D508" t="s">
        <v>25</v>
      </c>
      <c r="E508" t="s">
        <v>29</v>
      </c>
      <c r="F508" t="s">
        <v>41</v>
      </c>
      <c r="G508" t="s">
        <v>47</v>
      </c>
      <c r="H508">
        <v>23695.84</v>
      </c>
      <c r="I508">
        <v>20449.77</v>
      </c>
      <c r="J508">
        <v>-3246.0699999999997</v>
      </c>
      <c r="K508" s="1">
        <v>-13.698902423378955</v>
      </c>
      <c r="L508" t="s">
        <v>55</v>
      </c>
    </row>
    <row r="509" spans="1:12" x14ac:dyDescent="0.3">
      <c r="A509" t="s">
        <v>11</v>
      </c>
      <c r="B509" s="7">
        <v>45870</v>
      </c>
      <c r="C509" t="s">
        <v>21</v>
      </c>
      <c r="D509" t="s">
        <v>25</v>
      </c>
      <c r="E509" t="s">
        <v>29</v>
      </c>
      <c r="F509" t="s">
        <v>41</v>
      </c>
      <c r="G509" t="s">
        <v>48</v>
      </c>
      <c r="H509">
        <v>8213.42</v>
      </c>
      <c r="I509">
        <v>9489.2199999999993</v>
      </c>
      <c r="J509">
        <v>1275.7999999999993</v>
      </c>
      <c r="K509" s="1">
        <v>15.533115316153312</v>
      </c>
      <c r="L509" t="s">
        <v>55</v>
      </c>
    </row>
    <row r="510" spans="1:12" x14ac:dyDescent="0.3">
      <c r="A510" t="s">
        <v>11</v>
      </c>
      <c r="B510" s="7">
        <v>45870</v>
      </c>
      <c r="C510" t="s">
        <v>21</v>
      </c>
      <c r="D510" t="s">
        <v>25</v>
      </c>
      <c r="E510" t="s">
        <v>29</v>
      </c>
      <c r="F510" t="s">
        <v>41</v>
      </c>
      <c r="G510" t="s">
        <v>49</v>
      </c>
      <c r="H510">
        <v>3004.21</v>
      </c>
      <c r="I510">
        <v>3116.63</v>
      </c>
      <c r="J510">
        <v>112.42000000000007</v>
      </c>
      <c r="K510" s="1">
        <v>3.7420819450038474</v>
      </c>
      <c r="L510" t="s">
        <v>55</v>
      </c>
    </row>
    <row r="511" spans="1:12" x14ac:dyDescent="0.3">
      <c r="A511" t="s">
        <v>11</v>
      </c>
      <c r="B511" s="7">
        <v>45870</v>
      </c>
      <c r="C511" t="s">
        <v>21</v>
      </c>
      <c r="D511" t="s">
        <v>25</v>
      </c>
      <c r="E511" t="s">
        <v>29</v>
      </c>
      <c r="F511" t="s">
        <v>41</v>
      </c>
      <c r="G511" t="s">
        <v>51</v>
      </c>
      <c r="H511">
        <v>7795.76</v>
      </c>
      <c r="I511">
        <v>6713.72</v>
      </c>
      <c r="J511">
        <v>-1082.04</v>
      </c>
      <c r="K511" s="1">
        <v>-13.879852637844161</v>
      </c>
      <c r="L511" t="s">
        <v>55</v>
      </c>
    </row>
    <row r="512" spans="1:12" x14ac:dyDescent="0.3">
      <c r="A512" t="s">
        <v>11</v>
      </c>
      <c r="B512" s="7">
        <v>45870</v>
      </c>
      <c r="C512" t="s">
        <v>21</v>
      </c>
      <c r="D512" t="s">
        <v>25</v>
      </c>
      <c r="E512" t="s">
        <v>30</v>
      </c>
      <c r="F512" t="s">
        <v>42</v>
      </c>
      <c r="G512" t="s">
        <v>45</v>
      </c>
      <c r="H512">
        <v>7594.94</v>
      </c>
      <c r="I512">
        <v>7200.95</v>
      </c>
      <c r="J512">
        <v>-393.98999999999978</v>
      </c>
      <c r="K512" s="1">
        <v>-5.1875327520691386</v>
      </c>
      <c r="L512" t="s">
        <v>55</v>
      </c>
    </row>
    <row r="513" spans="1:12" x14ac:dyDescent="0.3">
      <c r="A513" t="s">
        <v>11</v>
      </c>
      <c r="B513" s="7">
        <v>45870</v>
      </c>
      <c r="C513" t="s">
        <v>21</v>
      </c>
      <c r="D513" t="s">
        <v>25</v>
      </c>
      <c r="E513" t="s">
        <v>30</v>
      </c>
      <c r="F513" t="s">
        <v>42</v>
      </c>
      <c r="G513" t="s">
        <v>46</v>
      </c>
      <c r="H513">
        <v>11741.74</v>
      </c>
      <c r="I513">
        <v>13743.11</v>
      </c>
      <c r="J513">
        <v>2001.3700000000008</v>
      </c>
      <c r="K513" s="1">
        <v>17.044918385179717</v>
      </c>
      <c r="L513" t="s">
        <v>55</v>
      </c>
    </row>
    <row r="514" spans="1:12" x14ac:dyDescent="0.3">
      <c r="A514" t="s">
        <v>11</v>
      </c>
      <c r="B514" s="7">
        <v>45870</v>
      </c>
      <c r="C514" t="s">
        <v>21</v>
      </c>
      <c r="D514" t="s">
        <v>25</v>
      </c>
      <c r="E514" t="s">
        <v>30</v>
      </c>
      <c r="F514" t="s">
        <v>42</v>
      </c>
      <c r="G514" t="s">
        <v>47</v>
      </c>
      <c r="H514">
        <v>23698.080000000002</v>
      </c>
      <c r="I514">
        <v>23851.89</v>
      </c>
      <c r="J514">
        <v>153.80999999999767</v>
      </c>
      <c r="K514" s="1">
        <v>0.64903992222153717</v>
      </c>
      <c r="L514" t="s">
        <v>55</v>
      </c>
    </row>
    <row r="515" spans="1:12" x14ac:dyDescent="0.3">
      <c r="A515" t="s">
        <v>11</v>
      </c>
      <c r="B515" s="7">
        <v>45870</v>
      </c>
      <c r="C515" t="s">
        <v>21</v>
      </c>
      <c r="D515" t="s">
        <v>25</v>
      </c>
      <c r="E515" t="s">
        <v>30</v>
      </c>
      <c r="F515" t="s">
        <v>42</v>
      </c>
      <c r="G515" t="s">
        <v>48</v>
      </c>
      <c r="H515">
        <v>8870.58</v>
      </c>
      <c r="I515">
        <v>10012.23</v>
      </c>
      <c r="J515">
        <v>1141.6499999999996</v>
      </c>
      <c r="K515" s="1">
        <v>12.87007163003997</v>
      </c>
      <c r="L515" t="s">
        <v>55</v>
      </c>
    </row>
    <row r="516" spans="1:12" x14ac:dyDescent="0.3">
      <c r="A516" t="s">
        <v>11</v>
      </c>
      <c r="B516" s="7">
        <v>45870</v>
      </c>
      <c r="C516" t="s">
        <v>21</v>
      </c>
      <c r="D516" t="s">
        <v>25</v>
      </c>
      <c r="E516" t="s">
        <v>30</v>
      </c>
      <c r="F516" t="s">
        <v>42</v>
      </c>
      <c r="G516" t="s">
        <v>49</v>
      </c>
      <c r="H516">
        <v>3295.11</v>
      </c>
      <c r="I516">
        <v>3702.2</v>
      </c>
      <c r="J516">
        <v>407.08999999999969</v>
      </c>
      <c r="K516" s="1">
        <v>12.354367532495111</v>
      </c>
      <c r="L516" t="s">
        <v>55</v>
      </c>
    </row>
    <row r="517" spans="1:12" x14ac:dyDescent="0.3">
      <c r="A517" t="s">
        <v>11</v>
      </c>
      <c r="B517" s="7">
        <v>45870</v>
      </c>
      <c r="C517" t="s">
        <v>21</v>
      </c>
      <c r="D517" t="s">
        <v>25</v>
      </c>
      <c r="E517" t="s">
        <v>30</v>
      </c>
      <c r="F517" t="s">
        <v>42</v>
      </c>
      <c r="G517" t="s">
        <v>51</v>
      </c>
      <c r="H517">
        <v>4633.2299999999996</v>
      </c>
      <c r="I517">
        <v>4849.92</v>
      </c>
      <c r="J517">
        <v>216.69000000000051</v>
      </c>
      <c r="K517" s="1">
        <v>4.6768668941537657</v>
      </c>
      <c r="L517" t="s">
        <v>55</v>
      </c>
    </row>
    <row r="518" spans="1:12" x14ac:dyDescent="0.3">
      <c r="A518" t="s">
        <v>11</v>
      </c>
      <c r="B518" s="7">
        <v>45870</v>
      </c>
      <c r="C518" t="s">
        <v>21</v>
      </c>
      <c r="D518" t="s">
        <v>25</v>
      </c>
      <c r="E518" t="s">
        <v>31</v>
      </c>
      <c r="F518" t="s">
        <v>43</v>
      </c>
      <c r="G518" t="s">
        <v>45</v>
      </c>
      <c r="H518">
        <v>5772.03</v>
      </c>
      <c r="I518">
        <v>5135.88</v>
      </c>
      <c r="J518">
        <v>-636.14999999999964</v>
      </c>
      <c r="K518" s="1">
        <v>-11.021252488292674</v>
      </c>
      <c r="L518" t="s">
        <v>55</v>
      </c>
    </row>
    <row r="519" spans="1:12" x14ac:dyDescent="0.3">
      <c r="A519" t="s">
        <v>11</v>
      </c>
      <c r="B519" s="7">
        <v>45870</v>
      </c>
      <c r="C519" t="s">
        <v>21</v>
      </c>
      <c r="D519" t="s">
        <v>25</v>
      </c>
      <c r="E519" t="s">
        <v>31</v>
      </c>
      <c r="F519" t="s">
        <v>43</v>
      </c>
      <c r="G519" t="s">
        <v>46</v>
      </c>
      <c r="H519">
        <v>7165.55</v>
      </c>
      <c r="I519">
        <v>7737.18</v>
      </c>
      <c r="J519">
        <v>571.63000000000011</v>
      </c>
      <c r="K519" s="1">
        <v>7.9774755601454199</v>
      </c>
      <c r="L519" t="s">
        <v>55</v>
      </c>
    </row>
    <row r="520" spans="1:12" x14ac:dyDescent="0.3">
      <c r="A520" t="s">
        <v>11</v>
      </c>
      <c r="B520" s="7">
        <v>45870</v>
      </c>
      <c r="C520" t="s">
        <v>21</v>
      </c>
      <c r="D520" t="s">
        <v>25</v>
      </c>
      <c r="E520" t="s">
        <v>31</v>
      </c>
      <c r="F520" t="s">
        <v>43</v>
      </c>
      <c r="G520" t="s">
        <v>47</v>
      </c>
      <c r="H520">
        <v>17170.650000000001</v>
      </c>
      <c r="I520">
        <v>18701.810000000001</v>
      </c>
      <c r="J520">
        <v>1531.1599999999999</v>
      </c>
      <c r="K520" s="1">
        <v>8.9173094786743636</v>
      </c>
      <c r="L520" t="s">
        <v>55</v>
      </c>
    </row>
    <row r="521" spans="1:12" x14ac:dyDescent="0.3">
      <c r="A521" t="s">
        <v>11</v>
      </c>
      <c r="B521" s="7">
        <v>45870</v>
      </c>
      <c r="C521" t="s">
        <v>21</v>
      </c>
      <c r="D521" t="s">
        <v>25</v>
      </c>
      <c r="E521" t="s">
        <v>31</v>
      </c>
      <c r="F521" t="s">
        <v>43</v>
      </c>
      <c r="G521" t="s">
        <v>48</v>
      </c>
      <c r="H521">
        <v>5524.5</v>
      </c>
      <c r="I521">
        <v>5270.62</v>
      </c>
      <c r="J521">
        <v>-253.88000000000011</v>
      </c>
      <c r="K521" s="1">
        <v>-4.5955290071499704</v>
      </c>
      <c r="L521" t="s">
        <v>55</v>
      </c>
    </row>
    <row r="522" spans="1:12" x14ac:dyDescent="0.3">
      <c r="A522" t="s">
        <v>11</v>
      </c>
      <c r="B522" s="7">
        <v>45870</v>
      </c>
      <c r="C522" t="s">
        <v>21</v>
      </c>
      <c r="D522" t="s">
        <v>25</v>
      </c>
      <c r="E522" t="s">
        <v>31</v>
      </c>
      <c r="F522" t="s">
        <v>43</v>
      </c>
      <c r="G522" t="s">
        <v>49</v>
      </c>
      <c r="H522">
        <v>3757.93</v>
      </c>
      <c r="I522">
        <v>4174.83</v>
      </c>
      <c r="J522">
        <v>416.90000000000009</v>
      </c>
      <c r="K522" s="1">
        <v>11.093873488862222</v>
      </c>
      <c r="L522" t="s">
        <v>55</v>
      </c>
    </row>
    <row r="523" spans="1:12" x14ac:dyDescent="0.3">
      <c r="A523" t="s">
        <v>11</v>
      </c>
      <c r="B523" s="7">
        <v>45870</v>
      </c>
      <c r="C523" t="s">
        <v>21</v>
      </c>
      <c r="D523" t="s">
        <v>25</v>
      </c>
      <c r="E523" t="s">
        <v>31</v>
      </c>
      <c r="F523" t="s">
        <v>43</v>
      </c>
      <c r="G523" t="s">
        <v>51</v>
      </c>
      <c r="H523">
        <v>5647.51</v>
      </c>
      <c r="I523">
        <v>5966.84</v>
      </c>
      <c r="J523">
        <v>319.32999999999993</v>
      </c>
      <c r="K523" s="1">
        <v>5.6543503243022135</v>
      </c>
      <c r="L523" t="s">
        <v>55</v>
      </c>
    </row>
    <row r="524" spans="1:12" x14ac:dyDescent="0.3">
      <c r="A524" t="s">
        <v>11</v>
      </c>
      <c r="B524" s="7">
        <v>45870</v>
      </c>
      <c r="C524" t="s">
        <v>22</v>
      </c>
      <c r="D524" t="s">
        <v>26</v>
      </c>
      <c r="E524" t="s">
        <v>32</v>
      </c>
      <c r="F524" t="s">
        <v>41</v>
      </c>
      <c r="G524" t="s">
        <v>45</v>
      </c>
      <c r="H524">
        <v>8330.31</v>
      </c>
      <c r="I524">
        <v>8773.7800000000007</v>
      </c>
      <c r="J524">
        <v>443.47000000000116</v>
      </c>
      <c r="K524" s="1">
        <v>5.3235713917009235</v>
      </c>
      <c r="L524" t="s">
        <v>55</v>
      </c>
    </row>
    <row r="525" spans="1:12" x14ac:dyDescent="0.3">
      <c r="A525" t="s">
        <v>11</v>
      </c>
      <c r="B525" s="7">
        <v>45870</v>
      </c>
      <c r="C525" t="s">
        <v>22</v>
      </c>
      <c r="D525" t="s">
        <v>26</v>
      </c>
      <c r="E525" t="s">
        <v>32</v>
      </c>
      <c r="F525" t="s">
        <v>41</v>
      </c>
      <c r="G525" t="s">
        <v>46</v>
      </c>
      <c r="H525">
        <v>8007.98</v>
      </c>
      <c r="I525">
        <v>6871.27</v>
      </c>
      <c r="J525">
        <v>-1136.7099999999991</v>
      </c>
      <c r="K525" s="1">
        <v>-14.194715771018398</v>
      </c>
      <c r="L525" t="s">
        <v>55</v>
      </c>
    </row>
    <row r="526" spans="1:12" x14ac:dyDescent="0.3">
      <c r="A526" t="s">
        <v>11</v>
      </c>
      <c r="B526" s="7">
        <v>45870</v>
      </c>
      <c r="C526" t="s">
        <v>22</v>
      </c>
      <c r="D526" t="s">
        <v>26</v>
      </c>
      <c r="E526" t="s">
        <v>32</v>
      </c>
      <c r="F526" t="s">
        <v>41</v>
      </c>
      <c r="G526" t="s">
        <v>47</v>
      </c>
      <c r="H526">
        <v>22897.07</v>
      </c>
      <c r="I526">
        <v>19623.22</v>
      </c>
      <c r="J526">
        <v>-3273.8499999999985</v>
      </c>
      <c r="K526" s="1">
        <v>-14.29811761941593</v>
      </c>
      <c r="L526" t="s">
        <v>55</v>
      </c>
    </row>
    <row r="527" spans="1:12" x14ac:dyDescent="0.3">
      <c r="A527" t="s">
        <v>11</v>
      </c>
      <c r="B527" s="7">
        <v>45870</v>
      </c>
      <c r="C527" t="s">
        <v>22</v>
      </c>
      <c r="D527" t="s">
        <v>26</v>
      </c>
      <c r="E527" t="s">
        <v>32</v>
      </c>
      <c r="F527" t="s">
        <v>41</v>
      </c>
      <c r="G527" t="s">
        <v>48</v>
      </c>
      <c r="H527">
        <v>8923.75</v>
      </c>
      <c r="I527">
        <v>9142.82</v>
      </c>
      <c r="J527">
        <v>219.06999999999971</v>
      </c>
      <c r="K527" s="1">
        <v>2.4549096512116511</v>
      </c>
      <c r="L527" t="s">
        <v>55</v>
      </c>
    </row>
    <row r="528" spans="1:12" x14ac:dyDescent="0.3">
      <c r="A528" t="s">
        <v>11</v>
      </c>
      <c r="B528" s="7">
        <v>45870</v>
      </c>
      <c r="C528" t="s">
        <v>22</v>
      </c>
      <c r="D528" t="s">
        <v>26</v>
      </c>
      <c r="E528" t="s">
        <v>32</v>
      </c>
      <c r="F528" t="s">
        <v>41</v>
      </c>
      <c r="G528" t="s">
        <v>49</v>
      </c>
      <c r="H528">
        <v>4597.04</v>
      </c>
      <c r="I528">
        <v>5119.26</v>
      </c>
      <c r="J528">
        <v>522.22000000000025</v>
      </c>
      <c r="K528" s="1">
        <v>11.359918556288399</v>
      </c>
      <c r="L528" t="s">
        <v>55</v>
      </c>
    </row>
    <row r="529" spans="1:12" x14ac:dyDescent="0.3">
      <c r="A529" t="s">
        <v>11</v>
      </c>
      <c r="B529" s="7">
        <v>45870</v>
      </c>
      <c r="C529" t="s">
        <v>22</v>
      </c>
      <c r="D529" t="s">
        <v>26</v>
      </c>
      <c r="E529" t="s">
        <v>32</v>
      </c>
      <c r="F529" t="s">
        <v>41</v>
      </c>
      <c r="G529" t="s">
        <v>51</v>
      </c>
      <c r="H529">
        <v>8092.56</v>
      </c>
      <c r="I529">
        <v>7815.27</v>
      </c>
      <c r="J529">
        <v>-277.28999999999996</v>
      </c>
      <c r="K529" s="1">
        <v>-3.4264806192354453</v>
      </c>
      <c r="L529" t="s">
        <v>55</v>
      </c>
    </row>
    <row r="530" spans="1:12" x14ac:dyDescent="0.3">
      <c r="A530" t="s">
        <v>11</v>
      </c>
      <c r="B530" s="7">
        <v>45870</v>
      </c>
      <c r="C530" t="s">
        <v>22</v>
      </c>
      <c r="D530" t="s">
        <v>26</v>
      </c>
      <c r="E530" t="s">
        <v>33</v>
      </c>
      <c r="F530" t="s">
        <v>42</v>
      </c>
      <c r="G530" t="s">
        <v>45</v>
      </c>
      <c r="H530">
        <v>7867.03</v>
      </c>
      <c r="I530">
        <v>7730.44</v>
      </c>
      <c r="J530">
        <v>-136.59000000000015</v>
      </c>
      <c r="K530" s="1">
        <v>-1.7362333688825407</v>
      </c>
      <c r="L530" t="s">
        <v>55</v>
      </c>
    </row>
    <row r="531" spans="1:12" x14ac:dyDescent="0.3">
      <c r="A531" t="s">
        <v>11</v>
      </c>
      <c r="B531" s="7">
        <v>45870</v>
      </c>
      <c r="C531" t="s">
        <v>22</v>
      </c>
      <c r="D531" t="s">
        <v>26</v>
      </c>
      <c r="E531" t="s">
        <v>33</v>
      </c>
      <c r="F531" t="s">
        <v>42</v>
      </c>
      <c r="G531" t="s">
        <v>46</v>
      </c>
      <c r="H531">
        <v>9341.33</v>
      </c>
      <c r="I531">
        <v>9874.5</v>
      </c>
      <c r="J531">
        <v>533.17000000000007</v>
      </c>
      <c r="K531" s="1">
        <v>5.7076454851718124</v>
      </c>
      <c r="L531" t="s">
        <v>55</v>
      </c>
    </row>
    <row r="532" spans="1:12" x14ac:dyDescent="0.3">
      <c r="A532" t="s">
        <v>11</v>
      </c>
      <c r="B532" s="7">
        <v>45870</v>
      </c>
      <c r="C532" t="s">
        <v>22</v>
      </c>
      <c r="D532" t="s">
        <v>26</v>
      </c>
      <c r="E532" t="s">
        <v>33</v>
      </c>
      <c r="F532" t="s">
        <v>42</v>
      </c>
      <c r="G532" t="s">
        <v>47</v>
      </c>
      <c r="H532">
        <v>22935.71</v>
      </c>
      <c r="I532">
        <v>21100.853200000001</v>
      </c>
      <c r="J532">
        <v>-1834.8567999999977</v>
      </c>
      <c r="K532" s="1">
        <v>-7.9999999999999902</v>
      </c>
      <c r="L532" t="s">
        <v>55</v>
      </c>
    </row>
    <row r="533" spans="1:12" x14ac:dyDescent="0.3">
      <c r="A533" t="s">
        <v>11</v>
      </c>
      <c r="B533" s="7">
        <v>45870</v>
      </c>
      <c r="C533" t="s">
        <v>22</v>
      </c>
      <c r="D533" t="s">
        <v>26</v>
      </c>
      <c r="E533" t="s">
        <v>33</v>
      </c>
      <c r="F533" t="s">
        <v>42</v>
      </c>
      <c r="G533" t="s">
        <v>48</v>
      </c>
      <c r="H533">
        <v>8476.75</v>
      </c>
      <c r="I533">
        <v>8373.8700000000008</v>
      </c>
      <c r="J533">
        <v>-102.8799999999992</v>
      </c>
      <c r="K533" s="1">
        <v>-1.2136726929542478</v>
      </c>
      <c r="L533" t="s">
        <v>55</v>
      </c>
    </row>
    <row r="534" spans="1:12" x14ac:dyDescent="0.3">
      <c r="A534" t="s">
        <v>11</v>
      </c>
      <c r="B534" s="7">
        <v>45870</v>
      </c>
      <c r="C534" t="s">
        <v>22</v>
      </c>
      <c r="D534" t="s">
        <v>26</v>
      </c>
      <c r="E534" t="s">
        <v>33</v>
      </c>
      <c r="F534" t="s">
        <v>42</v>
      </c>
      <c r="G534" t="s">
        <v>49</v>
      </c>
      <c r="H534">
        <v>3509.85</v>
      </c>
      <c r="I534">
        <v>3837.68</v>
      </c>
      <c r="J534">
        <v>327.82999999999993</v>
      </c>
      <c r="K534" s="1">
        <v>9.3402851973731043</v>
      </c>
      <c r="L534" t="s">
        <v>55</v>
      </c>
    </row>
    <row r="535" spans="1:12" x14ac:dyDescent="0.3">
      <c r="A535" t="s">
        <v>11</v>
      </c>
      <c r="B535" s="7">
        <v>45870</v>
      </c>
      <c r="C535" t="s">
        <v>22</v>
      </c>
      <c r="D535" t="s">
        <v>26</v>
      </c>
      <c r="E535" t="s">
        <v>33</v>
      </c>
      <c r="F535" t="s">
        <v>42</v>
      </c>
      <c r="G535" t="s">
        <v>51</v>
      </c>
      <c r="H535">
        <v>5359.6</v>
      </c>
      <c r="I535">
        <v>4751.05</v>
      </c>
      <c r="J535">
        <v>-608.55000000000018</v>
      </c>
      <c r="K535" s="1">
        <v>-11.35439211881484</v>
      </c>
      <c r="L535" t="s">
        <v>55</v>
      </c>
    </row>
    <row r="536" spans="1:12" x14ac:dyDescent="0.3">
      <c r="A536" t="s">
        <v>11</v>
      </c>
      <c r="B536" s="7">
        <v>45870</v>
      </c>
      <c r="C536" t="s">
        <v>22</v>
      </c>
      <c r="D536" t="s">
        <v>26</v>
      </c>
      <c r="E536" t="s">
        <v>34</v>
      </c>
      <c r="F536" t="s">
        <v>43</v>
      </c>
      <c r="G536" t="s">
        <v>45</v>
      </c>
      <c r="H536">
        <v>6258.03</v>
      </c>
      <c r="I536">
        <v>5912.51</v>
      </c>
      <c r="J536">
        <v>-345.51999999999953</v>
      </c>
      <c r="K536" s="1">
        <v>-5.5212263284132472</v>
      </c>
      <c r="L536" t="s">
        <v>55</v>
      </c>
    </row>
    <row r="537" spans="1:12" x14ac:dyDescent="0.3">
      <c r="A537" t="s">
        <v>11</v>
      </c>
      <c r="B537" s="7">
        <v>45870</v>
      </c>
      <c r="C537" t="s">
        <v>22</v>
      </c>
      <c r="D537" t="s">
        <v>26</v>
      </c>
      <c r="E537" t="s">
        <v>34</v>
      </c>
      <c r="F537" t="s">
        <v>43</v>
      </c>
      <c r="G537" t="s">
        <v>46</v>
      </c>
      <c r="H537">
        <v>8350.06</v>
      </c>
      <c r="I537">
        <v>7741.27</v>
      </c>
      <c r="J537">
        <v>-608.78999999999905</v>
      </c>
      <c r="K537" s="1">
        <v>-7.2908458142815631</v>
      </c>
      <c r="L537" t="s">
        <v>55</v>
      </c>
    </row>
    <row r="538" spans="1:12" x14ac:dyDescent="0.3">
      <c r="A538" t="s">
        <v>11</v>
      </c>
      <c r="B538" s="7">
        <v>45870</v>
      </c>
      <c r="C538" t="s">
        <v>22</v>
      </c>
      <c r="D538" t="s">
        <v>26</v>
      </c>
      <c r="E538" t="s">
        <v>34</v>
      </c>
      <c r="F538" t="s">
        <v>43</v>
      </c>
      <c r="G538" t="s">
        <v>47</v>
      </c>
      <c r="H538">
        <v>13954.61</v>
      </c>
      <c r="I538">
        <v>11943.73</v>
      </c>
      <c r="J538">
        <v>-2010.880000000001</v>
      </c>
      <c r="K538" s="1">
        <v>-14.410148330910008</v>
      </c>
      <c r="L538" t="s">
        <v>55</v>
      </c>
    </row>
    <row r="539" spans="1:12" x14ac:dyDescent="0.3">
      <c r="A539" t="s">
        <v>11</v>
      </c>
      <c r="B539" s="7">
        <v>45870</v>
      </c>
      <c r="C539" t="s">
        <v>22</v>
      </c>
      <c r="D539" t="s">
        <v>26</v>
      </c>
      <c r="E539" t="s">
        <v>34</v>
      </c>
      <c r="F539" t="s">
        <v>43</v>
      </c>
      <c r="G539" t="s">
        <v>48</v>
      </c>
      <c r="H539">
        <v>9398.43</v>
      </c>
      <c r="I539">
        <v>9315.4</v>
      </c>
      <c r="J539">
        <v>-83.030000000000655</v>
      </c>
      <c r="K539" s="1">
        <v>-0.8834454265233731</v>
      </c>
      <c r="L539" t="s">
        <v>55</v>
      </c>
    </row>
    <row r="540" spans="1:12" x14ac:dyDescent="0.3">
      <c r="A540" t="s">
        <v>11</v>
      </c>
      <c r="B540" s="7">
        <v>45870</v>
      </c>
      <c r="C540" t="s">
        <v>22</v>
      </c>
      <c r="D540" t="s">
        <v>26</v>
      </c>
      <c r="E540" t="s">
        <v>34</v>
      </c>
      <c r="F540" t="s">
        <v>43</v>
      </c>
      <c r="G540" t="s">
        <v>49</v>
      </c>
      <c r="H540">
        <v>3432.09</v>
      </c>
      <c r="I540">
        <v>3687.03</v>
      </c>
      <c r="J540">
        <v>254.94000000000005</v>
      </c>
      <c r="K540" s="1">
        <v>7.4281268847844917</v>
      </c>
      <c r="L540" t="s">
        <v>55</v>
      </c>
    </row>
    <row r="541" spans="1:12" x14ac:dyDescent="0.3">
      <c r="A541" t="s">
        <v>11</v>
      </c>
      <c r="B541" s="7">
        <v>45870</v>
      </c>
      <c r="C541" t="s">
        <v>22</v>
      </c>
      <c r="D541" t="s">
        <v>26</v>
      </c>
      <c r="E541" t="s">
        <v>34</v>
      </c>
      <c r="F541" t="s">
        <v>43</v>
      </c>
      <c r="G541" t="s">
        <v>51</v>
      </c>
      <c r="H541">
        <v>5285.71</v>
      </c>
      <c r="I541">
        <v>6149.86</v>
      </c>
      <c r="J541">
        <v>864.14999999999964</v>
      </c>
      <c r="K541" s="1">
        <v>16.348797039565159</v>
      </c>
      <c r="L541" t="s">
        <v>55</v>
      </c>
    </row>
    <row r="542" spans="1:12" x14ac:dyDescent="0.3">
      <c r="A542" t="s">
        <v>11</v>
      </c>
      <c r="B542" s="7">
        <v>45870</v>
      </c>
      <c r="C542" t="s">
        <v>23</v>
      </c>
      <c r="D542" t="s">
        <v>27</v>
      </c>
      <c r="E542" t="s">
        <v>35</v>
      </c>
      <c r="F542" t="s">
        <v>41</v>
      </c>
      <c r="G542" t="s">
        <v>45</v>
      </c>
      <c r="H542">
        <v>7941.75</v>
      </c>
      <c r="I542">
        <v>6984.81</v>
      </c>
      <c r="J542">
        <v>-956.9399999999996</v>
      </c>
      <c r="K542" s="1">
        <v>-12.049485314949472</v>
      </c>
      <c r="L542" t="s">
        <v>55</v>
      </c>
    </row>
    <row r="543" spans="1:12" x14ac:dyDescent="0.3">
      <c r="A543" t="s">
        <v>11</v>
      </c>
      <c r="B543" s="7">
        <v>45870</v>
      </c>
      <c r="C543" t="s">
        <v>23</v>
      </c>
      <c r="D543" t="s">
        <v>27</v>
      </c>
      <c r="E543" t="s">
        <v>35</v>
      </c>
      <c r="F543" t="s">
        <v>41</v>
      </c>
      <c r="G543" t="s">
        <v>46</v>
      </c>
      <c r="H543">
        <v>9004.94</v>
      </c>
      <c r="I543">
        <v>10266.61</v>
      </c>
      <c r="J543">
        <v>1261.67</v>
      </c>
      <c r="K543" s="1">
        <v>14.010865147352453</v>
      </c>
      <c r="L543" t="s">
        <v>55</v>
      </c>
    </row>
    <row r="544" spans="1:12" x14ac:dyDescent="0.3">
      <c r="A544" t="s">
        <v>11</v>
      </c>
      <c r="B544" s="7">
        <v>45870</v>
      </c>
      <c r="C544" t="s">
        <v>23</v>
      </c>
      <c r="D544" t="s">
        <v>27</v>
      </c>
      <c r="E544" t="s">
        <v>35</v>
      </c>
      <c r="F544" t="s">
        <v>41</v>
      </c>
      <c r="G544" t="s">
        <v>47</v>
      </c>
      <c r="H544">
        <v>23703.11</v>
      </c>
      <c r="I544">
        <v>23803.67</v>
      </c>
      <c r="J544">
        <v>100.55999999999767</v>
      </c>
      <c r="K544" s="1">
        <v>0.42424812608977336</v>
      </c>
      <c r="L544" t="s">
        <v>55</v>
      </c>
    </row>
    <row r="545" spans="1:12" x14ac:dyDescent="0.3">
      <c r="A545" t="s">
        <v>11</v>
      </c>
      <c r="B545" s="7">
        <v>45870</v>
      </c>
      <c r="C545" t="s">
        <v>23</v>
      </c>
      <c r="D545" t="s">
        <v>27</v>
      </c>
      <c r="E545" t="s">
        <v>35</v>
      </c>
      <c r="F545" t="s">
        <v>41</v>
      </c>
      <c r="G545" t="s">
        <v>48</v>
      </c>
      <c r="H545">
        <v>7826.33</v>
      </c>
      <c r="I545">
        <v>7083.78</v>
      </c>
      <c r="J545">
        <v>-742.55000000000018</v>
      </c>
      <c r="K545" s="1">
        <v>-9.4878442386150361</v>
      </c>
      <c r="L545" t="s">
        <v>55</v>
      </c>
    </row>
    <row r="546" spans="1:12" x14ac:dyDescent="0.3">
      <c r="A546" t="s">
        <v>11</v>
      </c>
      <c r="B546" s="7">
        <v>45870</v>
      </c>
      <c r="C546" t="s">
        <v>23</v>
      </c>
      <c r="D546" t="s">
        <v>27</v>
      </c>
      <c r="E546" t="s">
        <v>35</v>
      </c>
      <c r="F546" t="s">
        <v>41</v>
      </c>
      <c r="G546" t="s">
        <v>49</v>
      </c>
      <c r="H546">
        <v>4706.45</v>
      </c>
      <c r="I546">
        <v>4360.3</v>
      </c>
      <c r="J546">
        <v>-346.14999999999964</v>
      </c>
      <c r="K546" s="1">
        <v>-7.3548003272105227</v>
      </c>
      <c r="L546" t="s">
        <v>55</v>
      </c>
    </row>
    <row r="547" spans="1:12" x14ac:dyDescent="0.3">
      <c r="A547" t="s">
        <v>11</v>
      </c>
      <c r="B547" s="7">
        <v>45870</v>
      </c>
      <c r="C547" t="s">
        <v>23</v>
      </c>
      <c r="D547" t="s">
        <v>27</v>
      </c>
      <c r="E547" t="s">
        <v>35</v>
      </c>
      <c r="F547" t="s">
        <v>41</v>
      </c>
      <c r="G547" t="s">
        <v>51</v>
      </c>
      <c r="H547">
        <v>7893.83</v>
      </c>
      <c r="I547">
        <v>8402.07</v>
      </c>
      <c r="J547">
        <v>508.23999999999978</v>
      </c>
      <c r="K547" s="1">
        <v>6.4384462295235618</v>
      </c>
      <c r="L547" t="s">
        <v>55</v>
      </c>
    </row>
    <row r="548" spans="1:12" x14ac:dyDescent="0.3">
      <c r="A548" t="s">
        <v>11</v>
      </c>
      <c r="B548" s="7">
        <v>45870</v>
      </c>
      <c r="C548" t="s">
        <v>23</v>
      </c>
      <c r="D548" t="s">
        <v>27</v>
      </c>
      <c r="E548" t="s">
        <v>36</v>
      </c>
      <c r="F548" t="s">
        <v>44</v>
      </c>
      <c r="G548" t="s">
        <v>45</v>
      </c>
      <c r="H548">
        <v>7245.17</v>
      </c>
      <c r="I548">
        <v>7384.19</v>
      </c>
      <c r="J548">
        <v>139.01999999999953</v>
      </c>
      <c r="K548" s="1">
        <v>1.918795556211925</v>
      </c>
      <c r="L548" t="s">
        <v>55</v>
      </c>
    </row>
    <row r="549" spans="1:12" x14ac:dyDescent="0.3">
      <c r="A549" t="s">
        <v>11</v>
      </c>
      <c r="B549" s="7">
        <v>45870</v>
      </c>
      <c r="C549" t="s">
        <v>23</v>
      </c>
      <c r="D549" t="s">
        <v>27</v>
      </c>
      <c r="E549" t="s">
        <v>36</v>
      </c>
      <c r="F549" t="s">
        <v>44</v>
      </c>
      <c r="G549" t="s">
        <v>46</v>
      </c>
      <c r="H549">
        <v>7995.62</v>
      </c>
      <c r="I549">
        <v>7262.05</v>
      </c>
      <c r="J549">
        <v>-733.56999999999971</v>
      </c>
      <c r="K549" s="1">
        <v>-9.174648119845612</v>
      </c>
      <c r="L549" t="s">
        <v>55</v>
      </c>
    </row>
    <row r="550" spans="1:12" x14ac:dyDescent="0.3">
      <c r="A550" t="s">
        <v>11</v>
      </c>
      <c r="B550" s="7">
        <v>45870</v>
      </c>
      <c r="C550" t="s">
        <v>23</v>
      </c>
      <c r="D550" t="s">
        <v>27</v>
      </c>
      <c r="E550" t="s">
        <v>36</v>
      </c>
      <c r="F550" t="s">
        <v>44</v>
      </c>
      <c r="G550" t="s">
        <v>47</v>
      </c>
      <c r="H550">
        <v>15881.25</v>
      </c>
      <c r="I550">
        <v>14476.15</v>
      </c>
      <c r="J550">
        <v>-1405.1000000000004</v>
      </c>
      <c r="K550" s="1">
        <v>-8.8475403384494324</v>
      </c>
      <c r="L550" t="s">
        <v>55</v>
      </c>
    </row>
    <row r="551" spans="1:12" x14ac:dyDescent="0.3">
      <c r="A551" t="s">
        <v>11</v>
      </c>
      <c r="B551" s="7">
        <v>45870</v>
      </c>
      <c r="C551" t="s">
        <v>23</v>
      </c>
      <c r="D551" t="s">
        <v>27</v>
      </c>
      <c r="E551" t="s">
        <v>36</v>
      </c>
      <c r="F551" t="s">
        <v>44</v>
      </c>
      <c r="G551" t="s">
        <v>48</v>
      </c>
      <c r="H551">
        <v>8524.25</v>
      </c>
      <c r="I551">
        <v>8230.52</v>
      </c>
      <c r="J551">
        <v>-293.72999999999956</v>
      </c>
      <c r="K551" s="1">
        <v>-3.4458163474792456</v>
      </c>
      <c r="L551" t="s">
        <v>55</v>
      </c>
    </row>
    <row r="552" spans="1:12" x14ac:dyDescent="0.3">
      <c r="A552" t="s">
        <v>11</v>
      </c>
      <c r="B552" s="7">
        <v>45870</v>
      </c>
      <c r="C552" t="s">
        <v>23</v>
      </c>
      <c r="D552" t="s">
        <v>27</v>
      </c>
      <c r="E552" t="s">
        <v>36</v>
      </c>
      <c r="F552" t="s">
        <v>44</v>
      </c>
      <c r="G552" t="s">
        <v>49</v>
      </c>
      <c r="H552">
        <v>2746.47</v>
      </c>
      <c r="I552">
        <v>3212.83</v>
      </c>
      <c r="J552">
        <v>466.36000000000013</v>
      </c>
      <c r="K552" s="1">
        <v>16.980342039053774</v>
      </c>
      <c r="L552" t="s">
        <v>55</v>
      </c>
    </row>
    <row r="553" spans="1:12" x14ac:dyDescent="0.3">
      <c r="A553" t="s">
        <v>11</v>
      </c>
      <c r="B553" s="7">
        <v>45870</v>
      </c>
      <c r="C553" t="s">
        <v>23</v>
      </c>
      <c r="D553" t="s">
        <v>27</v>
      </c>
      <c r="E553" t="s">
        <v>36</v>
      </c>
      <c r="F553" t="s">
        <v>44</v>
      </c>
      <c r="G553" t="s">
        <v>51</v>
      </c>
      <c r="H553">
        <v>7681.63</v>
      </c>
      <c r="I553">
        <v>8881.18</v>
      </c>
      <c r="J553">
        <v>1199.5500000000002</v>
      </c>
      <c r="K553" s="1">
        <v>15.61582632852663</v>
      </c>
      <c r="L553" t="s">
        <v>55</v>
      </c>
    </row>
    <row r="554" spans="1:12" x14ac:dyDescent="0.3">
      <c r="A554" t="s">
        <v>11</v>
      </c>
      <c r="B554" s="7">
        <v>45870</v>
      </c>
      <c r="C554" t="s">
        <v>23</v>
      </c>
      <c r="D554" t="s">
        <v>27</v>
      </c>
      <c r="E554" t="s">
        <v>37</v>
      </c>
      <c r="F554" t="s">
        <v>43</v>
      </c>
      <c r="G554" t="s">
        <v>45</v>
      </c>
      <c r="H554">
        <v>8755.14</v>
      </c>
      <c r="I554">
        <v>7944.29</v>
      </c>
      <c r="J554">
        <v>-810.84999999999945</v>
      </c>
      <c r="K554" s="1">
        <v>-9.2614167220626911</v>
      </c>
      <c r="L554" t="s">
        <v>55</v>
      </c>
    </row>
    <row r="555" spans="1:12" x14ac:dyDescent="0.3">
      <c r="A555" t="s">
        <v>11</v>
      </c>
      <c r="B555" s="7">
        <v>45870</v>
      </c>
      <c r="C555" t="s">
        <v>23</v>
      </c>
      <c r="D555" t="s">
        <v>27</v>
      </c>
      <c r="E555" t="s">
        <v>37</v>
      </c>
      <c r="F555" t="s">
        <v>43</v>
      </c>
      <c r="G555" t="s">
        <v>46</v>
      </c>
      <c r="H555">
        <v>8889.7099999999991</v>
      </c>
      <c r="I555">
        <v>9780.6200000000008</v>
      </c>
      <c r="J555">
        <v>890.91000000000167</v>
      </c>
      <c r="K555" s="1">
        <v>10.021811735140986</v>
      </c>
      <c r="L555" t="s">
        <v>55</v>
      </c>
    </row>
    <row r="556" spans="1:12" x14ac:dyDescent="0.3">
      <c r="A556" t="s">
        <v>11</v>
      </c>
      <c r="B556" s="7">
        <v>45870</v>
      </c>
      <c r="C556" t="s">
        <v>23</v>
      </c>
      <c r="D556" t="s">
        <v>27</v>
      </c>
      <c r="E556" t="s">
        <v>37</v>
      </c>
      <c r="F556" t="s">
        <v>43</v>
      </c>
      <c r="G556" t="s">
        <v>47</v>
      </c>
      <c r="H556">
        <v>21017.02</v>
      </c>
      <c r="I556">
        <v>18931.830000000002</v>
      </c>
      <c r="J556">
        <v>-2085.1899999999987</v>
      </c>
      <c r="K556" s="1">
        <v>-9.9214351035494026</v>
      </c>
      <c r="L556" t="s">
        <v>55</v>
      </c>
    </row>
    <row r="557" spans="1:12" x14ac:dyDescent="0.3">
      <c r="A557" t="s">
        <v>11</v>
      </c>
      <c r="B557" s="7">
        <v>45870</v>
      </c>
      <c r="C557" t="s">
        <v>23</v>
      </c>
      <c r="D557" t="s">
        <v>27</v>
      </c>
      <c r="E557" t="s">
        <v>37</v>
      </c>
      <c r="F557" t="s">
        <v>43</v>
      </c>
      <c r="G557" t="s">
        <v>48</v>
      </c>
      <c r="H557">
        <v>8676.5</v>
      </c>
      <c r="I557">
        <v>8017.65</v>
      </c>
      <c r="J557">
        <v>-658.85000000000036</v>
      </c>
      <c r="K557" s="1">
        <v>-7.5934996830519257</v>
      </c>
      <c r="L557" t="s">
        <v>55</v>
      </c>
    </row>
    <row r="558" spans="1:12" x14ac:dyDescent="0.3">
      <c r="A558" t="s">
        <v>11</v>
      </c>
      <c r="B558" s="7">
        <v>45870</v>
      </c>
      <c r="C558" t="s">
        <v>23</v>
      </c>
      <c r="D558" t="s">
        <v>27</v>
      </c>
      <c r="E558" t="s">
        <v>37</v>
      </c>
      <c r="F558" t="s">
        <v>43</v>
      </c>
      <c r="G558" t="s">
        <v>49</v>
      </c>
      <c r="H558">
        <v>3095.02</v>
      </c>
      <c r="I558">
        <v>3179.21</v>
      </c>
      <c r="J558">
        <v>84.190000000000055</v>
      </c>
      <c r="K558" s="1">
        <v>2.7201762831904173</v>
      </c>
      <c r="L558" t="s">
        <v>55</v>
      </c>
    </row>
    <row r="559" spans="1:12" x14ac:dyDescent="0.3">
      <c r="A559" t="s">
        <v>11</v>
      </c>
      <c r="B559" s="7">
        <v>45870</v>
      </c>
      <c r="C559" t="s">
        <v>23</v>
      </c>
      <c r="D559" t="s">
        <v>27</v>
      </c>
      <c r="E559" t="s">
        <v>37</v>
      </c>
      <c r="F559" t="s">
        <v>43</v>
      </c>
      <c r="G559" t="s">
        <v>51</v>
      </c>
      <c r="H559">
        <v>6634.58</v>
      </c>
      <c r="I559">
        <v>6909.44</v>
      </c>
      <c r="J559">
        <v>274.85999999999967</v>
      </c>
      <c r="K559" s="1">
        <v>4.1428394864482705</v>
      </c>
      <c r="L559" t="s">
        <v>55</v>
      </c>
    </row>
    <row r="560" spans="1:12" x14ac:dyDescent="0.3">
      <c r="A560" t="s">
        <v>11</v>
      </c>
      <c r="B560" s="7">
        <v>45870</v>
      </c>
      <c r="C560" t="s">
        <v>24</v>
      </c>
      <c r="D560" t="s">
        <v>28</v>
      </c>
      <c r="E560" t="s">
        <v>38</v>
      </c>
      <c r="F560" t="s">
        <v>41</v>
      </c>
      <c r="G560" t="s">
        <v>45</v>
      </c>
      <c r="H560">
        <v>5231.8</v>
      </c>
      <c r="I560">
        <v>5961.96</v>
      </c>
      <c r="J560">
        <v>730.15999999999985</v>
      </c>
      <c r="K560" s="1">
        <v>13.956190985893954</v>
      </c>
      <c r="L560" t="s">
        <v>55</v>
      </c>
    </row>
    <row r="561" spans="1:12" x14ac:dyDescent="0.3">
      <c r="A561" t="s">
        <v>11</v>
      </c>
      <c r="B561" s="7">
        <v>45870</v>
      </c>
      <c r="C561" t="s">
        <v>24</v>
      </c>
      <c r="D561" t="s">
        <v>28</v>
      </c>
      <c r="E561" t="s">
        <v>38</v>
      </c>
      <c r="F561" t="s">
        <v>41</v>
      </c>
      <c r="G561" t="s">
        <v>46</v>
      </c>
      <c r="H561">
        <v>8184.24</v>
      </c>
      <c r="I561">
        <v>7306.4</v>
      </c>
      <c r="J561">
        <v>-877.84000000000015</v>
      </c>
      <c r="K561" s="1">
        <v>-10.725980665278636</v>
      </c>
      <c r="L561" t="s">
        <v>55</v>
      </c>
    </row>
    <row r="562" spans="1:12" x14ac:dyDescent="0.3">
      <c r="A562" t="s">
        <v>11</v>
      </c>
      <c r="B562" s="7">
        <v>45870</v>
      </c>
      <c r="C562" t="s">
        <v>24</v>
      </c>
      <c r="D562" t="s">
        <v>28</v>
      </c>
      <c r="E562" t="s">
        <v>38</v>
      </c>
      <c r="F562" t="s">
        <v>41</v>
      </c>
      <c r="G562" t="s">
        <v>47</v>
      </c>
      <c r="H562">
        <v>23098.48</v>
      </c>
      <c r="I562">
        <v>26918.16</v>
      </c>
      <c r="J562">
        <v>3819.6800000000003</v>
      </c>
      <c r="K562" s="1">
        <v>16.536499371387208</v>
      </c>
      <c r="L562" t="s">
        <v>55</v>
      </c>
    </row>
    <row r="563" spans="1:12" x14ac:dyDescent="0.3">
      <c r="A563" t="s">
        <v>11</v>
      </c>
      <c r="B563" s="7">
        <v>45870</v>
      </c>
      <c r="C563" t="s">
        <v>24</v>
      </c>
      <c r="D563" t="s">
        <v>28</v>
      </c>
      <c r="E563" t="s">
        <v>38</v>
      </c>
      <c r="F563" t="s">
        <v>41</v>
      </c>
      <c r="G563" t="s">
        <v>48</v>
      </c>
      <c r="H563">
        <v>8870.94</v>
      </c>
      <c r="I563">
        <v>9910.08</v>
      </c>
      <c r="J563">
        <v>1039.1399999999994</v>
      </c>
      <c r="K563" s="1">
        <v>11.713978450987149</v>
      </c>
      <c r="L563" t="s">
        <v>55</v>
      </c>
    </row>
    <row r="564" spans="1:12" x14ac:dyDescent="0.3">
      <c r="A564" t="s">
        <v>11</v>
      </c>
      <c r="B564" s="7">
        <v>45870</v>
      </c>
      <c r="C564" t="s">
        <v>24</v>
      </c>
      <c r="D564" t="s">
        <v>28</v>
      </c>
      <c r="E564" t="s">
        <v>38</v>
      </c>
      <c r="F564" t="s">
        <v>41</v>
      </c>
      <c r="G564" t="s">
        <v>49</v>
      </c>
      <c r="H564">
        <v>4001.01</v>
      </c>
      <c r="I564">
        <v>4128.17</v>
      </c>
      <c r="J564">
        <v>127.15999999999985</v>
      </c>
      <c r="K564" s="1">
        <v>3.1781975051299511</v>
      </c>
      <c r="L564" t="s">
        <v>55</v>
      </c>
    </row>
    <row r="565" spans="1:12" x14ac:dyDescent="0.3">
      <c r="A565" t="s">
        <v>11</v>
      </c>
      <c r="B565" s="7">
        <v>45870</v>
      </c>
      <c r="C565" t="s">
        <v>24</v>
      </c>
      <c r="D565" t="s">
        <v>28</v>
      </c>
      <c r="E565" t="s">
        <v>38</v>
      </c>
      <c r="F565" t="s">
        <v>41</v>
      </c>
      <c r="G565" t="s">
        <v>51</v>
      </c>
      <c r="H565">
        <v>4813.1499999999996</v>
      </c>
      <c r="I565">
        <v>4739.9399999999996</v>
      </c>
      <c r="J565">
        <v>-73.210000000000036</v>
      </c>
      <c r="K565" s="1">
        <v>-1.521041313900461</v>
      </c>
      <c r="L565" t="s">
        <v>55</v>
      </c>
    </row>
    <row r="566" spans="1:12" x14ac:dyDescent="0.3">
      <c r="A566" t="s">
        <v>11</v>
      </c>
      <c r="B566" s="7">
        <v>45870</v>
      </c>
      <c r="C566" t="s">
        <v>24</v>
      </c>
      <c r="D566" t="s">
        <v>28</v>
      </c>
      <c r="E566" t="s">
        <v>39</v>
      </c>
      <c r="F566" t="s">
        <v>44</v>
      </c>
      <c r="G566" t="s">
        <v>45</v>
      </c>
      <c r="H566">
        <v>6328.49</v>
      </c>
      <c r="I566">
        <v>5921.68</v>
      </c>
      <c r="J566">
        <v>-406.80999999999949</v>
      </c>
      <c r="K566" s="1">
        <v>-6.428231695080493</v>
      </c>
      <c r="L566" t="s">
        <v>55</v>
      </c>
    </row>
    <row r="567" spans="1:12" x14ac:dyDescent="0.3">
      <c r="A567" t="s">
        <v>11</v>
      </c>
      <c r="B567" s="7">
        <v>45870</v>
      </c>
      <c r="C567" t="s">
        <v>24</v>
      </c>
      <c r="D567" t="s">
        <v>28</v>
      </c>
      <c r="E567" t="s">
        <v>39</v>
      </c>
      <c r="F567" t="s">
        <v>44</v>
      </c>
      <c r="G567" t="s">
        <v>46</v>
      </c>
      <c r="H567">
        <v>10656.47</v>
      </c>
      <c r="I567">
        <v>10801.81</v>
      </c>
      <c r="J567">
        <v>145.34000000000015</v>
      </c>
      <c r="K567" s="1">
        <v>1.3638662709133527</v>
      </c>
      <c r="L567" t="s">
        <v>55</v>
      </c>
    </row>
    <row r="568" spans="1:12" x14ac:dyDescent="0.3">
      <c r="A568" t="s">
        <v>11</v>
      </c>
      <c r="B568" s="7">
        <v>45870</v>
      </c>
      <c r="C568" t="s">
        <v>24</v>
      </c>
      <c r="D568" t="s">
        <v>28</v>
      </c>
      <c r="E568" t="s">
        <v>39</v>
      </c>
      <c r="F568" t="s">
        <v>44</v>
      </c>
      <c r="G568" t="s">
        <v>47</v>
      </c>
      <c r="H568">
        <v>14375.3</v>
      </c>
      <c r="I568">
        <v>13263.52</v>
      </c>
      <c r="J568">
        <v>-1111.7799999999988</v>
      </c>
      <c r="K568" s="1">
        <v>-7.733960334740833</v>
      </c>
      <c r="L568" t="s">
        <v>55</v>
      </c>
    </row>
    <row r="569" spans="1:12" x14ac:dyDescent="0.3">
      <c r="A569" t="s">
        <v>11</v>
      </c>
      <c r="B569" s="7">
        <v>45870</v>
      </c>
      <c r="C569" t="s">
        <v>24</v>
      </c>
      <c r="D569" t="s">
        <v>28</v>
      </c>
      <c r="E569" t="s">
        <v>39</v>
      </c>
      <c r="F569" t="s">
        <v>44</v>
      </c>
      <c r="G569" t="s">
        <v>48</v>
      </c>
      <c r="H569">
        <v>8119.69</v>
      </c>
      <c r="I569">
        <v>7105.73</v>
      </c>
      <c r="J569">
        <v>-1013.96</v>
      </c>
      <c r="K569" s="1">
        <v>-12.487668864205407</v>
      </c>
      <c r="L569" t="s">
        <v>55</v>
      </c>
    </row>
    <row r="570" spans="1:12" x14ac:dyDescent="0.3">
      <c r="A570" t="s">
        <v>11</v>
      </c>
      <c r="B570" s="7">
        <v>45870</v>
      </c>
      <c r="C570" t="s">
        <v>24</v>
      </c>
      <c r="D570" t="s">
        <v>28</v>
      </c>
      <c r="E570" t="s">
        <v>39</v>
      </c>
      <c r="F570" t="s">
        <v>44</v>
      </c>
      <c r="G570" t="s">
        <v>49</v>
      </c>
      <c r="H570">
        <v>4412.53</v>
      </c>
      <c r="I570">
        <v>4471.66</v>
      </c>
      <c r="J570">
        <v>59.130000000000109</v>
      </c>
      <c r="K570" s="1">
        <v>1.3400475464189505</v>
      </c>
      <c r="L570" t="s">
        <v>55</v>
      </c>
    </row>
    <row r="571" spans="1:12" x14ac:dyDescent="0.3">
      <c r="A571" t="s">
        <v>11</v>
      </c>
      <c r="B571" s="7">
        <v>45870</v>
      </c>
      <c r="C571" t="s">
        <v>24</v>
      </c>
      <c r="D571" t="s">
        <v>28</v>
      </c>
      <c r="E571" t="s">
        <v>39</v>
      </c>
      <c r="F571" t="s">
        <v>44</v>
      </c>
      <c r="G571" t="s">
        <v>51</v>
      </c>
      <c r="H571">
        <v>6230.11</v>
      </c>
      <c r="I571">
        <v>6513.55</v>
      </c>
      <c r="J571">
        <v>283.44000000000051</v>
      </c>
      <c r="K571" s="1">
        <v>4.5495183873158016</v>
      </c>
      <c r="L571" t="s">
        <v>55</v>
      </c>
    </row>
    <row r="572" spans="1:12" x14ac:dyDescent="0.3">
      <c r="A572" t="s">
        <v>11</v>
      </c>
      <c r="B572" s="7">
        <v>45870</v>
      </c>
      <c r="C572" t="s">
        <v>24</v>
      </c>
      <c r="D572" t="s">
        <v>28</v>
      </c>
      <c r="E572" t="s">
        <v>40</v>
      </c>
      <c r="F572" t="s">
        <v>43</v>
      </c>
      <c r="G572" t="s">
        <v>45</v>
      </c>
      <c r="H572">
        <v>8091.26</v>
      </c>
      <c r="I572">
        <v>7806.26</v>
      </c>
      <c r="J572">
        <v>-285</v>
      </c>
      <c r="K572" s="1">
        <v>-3.5223191443607056</v>
      </c>
      <c r="L572" t="s">
        <v>55</v>
      </c>
    </row>
    <row r="573" spans="1:12" x14ac:dyDescent="0.3">
      <c r="A573" t="s">
        <v>11</v>
      </c>
      <c r="B573" s="7">
        <v>45870</v>
      </c>
      <c r="C573" t="s">
        <v>24</v>
      </c>
      <c r="D573" t="s">
        <v>28</v>
      </c>
      <c r="E573" t="s">
        <v>40</v>
      </c>
      <c r="F573" t="s">
        <v>43</v>
      </c>
      <c r="G573" t="s">
        <v>46</v>
      </c>
      <c r="H573">
        <v>10411.290000000001</v>
      </c>
      <c r="I573">
        <v>10793.29</v>
      </c>
      <c r="J573">
        <v>382</v>
      </c>
      <c r="K573" s="1">
        <v>3.6690938394761838</v>
      </c>
      <c r="L573" t="s">
        <v>55</v>
      </c>
    </row>
    <row r="574" spans="1:12" x14ac:dyDescent="0.3">
      <c r="A574" t="s">
        <v>11</v>
      </c>
      <c r="B574" s="7">
        <v>45870</v>
      </c>
      <c r="C574" t="s">
        <v>24</v>
      </c>
      <c r="D574" t="s">
        <v>28</v>
      </c>
      <c r="E574" t="s">
        <v>40</v>
      </c>
      <c r="F574" t="s">
        <v>43</v>
      </c>
      <c r="G574" t="s">
        <v>47</v>
      </c>
      <c r="H574">
        <v>16383.91</v>
      </c>
      <c r="I574">
        <v>18676.8</v>
      </c>
      <c r="J574">
        <v>2292.8899999999994</v>
      </c>
      <c r="K574" s="1">
        <v>13.994766816956389</v>
      </c>
      <c r="L574" t="s">
        <v>55</v>
      </c>
    </row>
    <row r="575" spans="1:12" x14ac:dyDescent="0.3">
      <c r="A575" t="s">
        <v>11</v>
      </c>
      <c r="B575" s="7">
        <v>45870</v>
      </c>
      <c r="C575" t="s">
        <v>24</v>
      </c>
      <c r="D575" t="s">
        <v>28</v>
      </c>
      <c r="E575" t="s">
        <v>40</v>
      </c>
      <c r="F575" t="s">
        <v>43</v>
      </c>
      <c r="G575" t="s">
        <v>48</v>
      </c>
      <c r="H575">
        <v>8599.19</v>
      </c>
      <c r="I575">
        <v>9177.82</v>
      </c>
      <c r="J575">
        <v>578.6299999999992</v>
      </c>
      <c r="K575" s="1">
        <v>6.72888958146057</v>
      </c>
      <c r="L575" t="s">
        <v>55</v>
      </c>
    </row>
    <row r="576" spans="1:12" x14ac:dyDescent="0.3">
      <c r="A576" t="s">
        <v>11</v>
      </c>
      <c r="B576" s="7">
        <v>45870</v>
      </c>
      <c r="C576" t="s">
        <v>24</v>
      </c>
      <c r="D576" t="s">
        <v>28</v>
      </c>
      <c r="E576" t="s">
        <v>40</v>
      </c>
      <c r="F576" t="s">
        <v>43</v>
      </c>
      <c r="G576" t="s">
        <v>49</v>
      </c>
      <c r="H576">
        <v>4411.22</v>
      </c>
      <c r="I576">
        <v>5012.0600000000004</v>
      </c>
      <c r="J576">
        <v>600.84000000000015</v>
      </c>
      <c r="K576" s="1">
        <v>13.620721705106526</v>
      </c>
      <c r="L576" t="s">
        <v>55</v>
      </c>
    </row>
    <row r="577" spans="1:12" x14ac:dyDescent="0.3">
      <c r="A577" t="s">
        <v>11</v>
      </c>
      <c r="B577" s="7">
        <v>45870</v>
      </c>
      <c r="C577" t="s">
        <v>24</v>
      </c>
      <c r="D577" t="s">
        <v>28</v>
      </c>
      <c r="E577" t="s">
        <v>40</v>
      </c>
      <c r="F577" t="s">
        <v>43</v>
      </c>
      <c r="G577" t="s">
        <v>51</v>
      </c>
      <c r="H577">
        <v>7050.11</v>
      </c>
      <c r="I577">
        <v>7939.93</v>
      </c>
      <c r="J577">
        <v>889.82000000000062</v>
      </c>
      <c r="K577" s="1">
        <v>12.621363354614335</v>
      </c>
      <c r="L577" t="s">
        <v>55</v>
      </c>
    </row>
    <row r="578" spans="1:12" x14ac:dyDescent="0.3">
      <c r="A578" t="s">
        <v>17</v>
      </c>
      <c r="B578" s="7">
        <v>45901</v>
      </c>
      <c r="C578" t="s">
        <v>21</v>
      </c>
      <c r="D578" t="s">
        <v>25</v>
      </c>
      <c r="E578" t="s">
        <v>29</v>
      </c>
      <c r="F578" t="s">
        <v>41</v>
      </c>
      <c r="G578" t="s">
        <v>45</v>
      </c>
      <c r="H578">
        <v>7595.14</v>
      </c>
      <c r="I578">
        <v>8160.57</v>
      </c>
      <c r="J578">
        <v>565.42999999999938</v>
      </c>
      <c r="K578" s="1">
        <v>7.4446290654286731</v>
      </c>
      <c r="L578" t="s">
        <v>55</v>
      </c>
    </row>
    <row r="579" spans="1:12" x14ac:dyDescent="0.3">
      <c r="A579" t="s">
        <v>17</v>
      </c>
      <c r="B579" s="7">
        <v>45901</v>
      </c>
      <c r="C579" t="s">
        <v>21</v>
      </c>
      <c r="D579" t="s">
        <v>25</v>
      </c>
      <c r="E579" t="s">
        <v>29</v>
      </c>
      <c r="F579" t="s">
        <v>41</v>
      </c>
      <c r="G579" t="s">
        <v>46</v>
      </c>
      <c r="H579">
        <v>10090.5</v>
      </c>
      <c r="I579">
        <v>11083.37</v>
      </c>
      <c r="J579">
        <v>992.8700000000008</v>
      </c>
      <c r="K579" s="1">
        <v>9.8396511570288965</v>
      </c>
      <c r="L579" t="s">
        <v>55</v>
      </c>
    </row>
    <row r="580" spans="1:12" x14ac:dyDescent="0.3">
      <c r="A580" t="s">
        <v>17</v>
      </c>
      <c r="B580" s="7">
        <v>45901</v>
      </c>
      <c r="C580" t="s">
        <v>21</v>
      </c>
      <c r="D580" t="s">
        <v>25</v>
      </c>
      <c r="E580" t="s">
        <v>29</v>
      </c>
      <c r="F580" t="s">
        <v>41</v>
      </c>
      <c r="G580" t="s">
        <v>47</v>
      </c>
      <c r="H580">
        <v>15212.94</v>
      </c>
      <c r="I580">
        <v>17353.2</v>
      </c>
      <c r="J580">
        <v>2140.2600000000002</v>
      </c>
      <c r="K580" s="1">
        <v>14.068681004460675</v>
      </c>
      <c r="L580" t="s">
        <v>55</v>
      </c>
    </row>
    <row r="581" spans="1:12" x14ac:dyDescent="0.3">
      <c r="A581" t="s">
        <v>17</v>
      </c>
      <c r="B581" s="7">
        <v>45901</v>
      </c>
      <c r="C581" t="s">
        <v>21</v>
      </c>
      <c r="D581" t="s">
        <v>25</v>
      </c>
      <c r="E581" t="s">
        <v>29</v>
      </c>
      <c r="F581" t="s">
        <v>41</v>
      </c>
      <c r="G581" t="s">
        <v>48</v>
      </c>
      <c r="H581">
        <v>8911.74</v>
      </c>
      <c r="I581">
        <v>7660.99</v>
      </c>
      <c r="J581">
        <v>-1250.75</v>
      </c>
      <c r="K581" s="1">
        <v>-14.034857390363722</v>
      </c>
      <c r="L581" t="s">
        <v>55</v>
      </c>
    </row>
    <row r="582" spans="1:12" x14ac:dyDescent="0.3">
      <c r="A582" t="s">
        <v>17</v>
      </c>
      <c r="B582" s="7">
        <v>45901</v>
      </c>
      <c r="C582" t="s">
        <v>21</v>
      </c>
      <c r="D582" t="s">
        <v>25</v>
      </c>
      <c r="E582" t="s">
        <v>29</v>
      </c>
      <c r="F582" t="s">
        <v>41</v>
      </c>
      <c r="G582" t="s">
        <v>49</v>
      </c>
      <c r="H582">
        <v>4359.22</v>
      </c>
      <c r="I582">
        <v>3890.72</v>
      </c>
      <c r="J582">
        <v>-468.50000000000045</v>
      </c>
      <c r="K582" s="1">
        <v>-10.747335532503531</v>
      </c>
      <c r="L582" t="s">
        <v>55</v>
      </c>
    </row>
    <row r="583" spans="1:12" x14ac:dyDescent="0.3">
      <c r="A583" t="s">
        <v>17</v>
      </c>
      <c r="B583" s="7">
        <v>45901</v>
      </c>
      <c r="C583" t="s">
        <v>21</v>
      </c>
      <c r="D583" t="s">
        <v>25</v>
      </c>
      <c r="E583" t="s">
        <v>29</v>
      </c>
      <c r="F583" t="s">
        <v>41</v>
      </c>
      <c r="G583" t="s">
        <v>51</v>
      </c>
      <c r="H583">
        <v>5706.43</v>
      </c>
      <c r="I583">
        <v>6250.58</v>
      </c>
      <c r="J583">
        <v>544.14999999999964</v>
      </c>
      <c r="K583" s="1">
        <v>9.5357342506610898</v>
      </c>
      <c r="L583" t="s">
        <v>55</v>
      </c>
    </row>
    <row r="584" spans="1:12" x14ac:dyDescent="0.3">
      <c r="A584" t="s">
        <v>17</v>
      </c>
      <c r="B584" s="7">
        <v>45901</v>
      </c>
      <c r="C584" t="s">
        <v>21</v>
      </c>
      <c r="D584" t="s">
        <v>25</v>
      </c>
      <c r="E584" t="s">
        <v>30</v>
      </c>
      <c r="F584" t="s">
        <v>42</v>
      </c>
      <c r="G584" t="s">
        <v>45</v>
      </c>
      <c r="H584">
        <v>5501.96</v>
      </c>
      <c r="I584">
        <v>6161.81</v>
      </c>
      <c r="J584">
        <v>659.85000000000036</v>
      </c>
      <c r="K584" s="1">
        <v>11.992998858588583</v>
      </c>
      <c r="L584" t="s">
        <v>55</v>
      </c>
    </row>
    <row r="585" spans="1:12" x14ac:dyDescent="0.3">
      <c r="A585" t="s">
        <v>17</v>
      </c>
      <c r="B585" s="7">
        <v>45901</v>
      </c>
      <c r="C585" t="s">
        <v>21</v>
      </c>
      <c r="D585" t="s">
        <v>25</v>
      </c>
      <c r="E585" t="s">
        <v>30</v>
      </c>
      <c r="F585" t="s">
        <v>42</v>
      </c>
      <c r="G585" t="s">
        <v>46</v>
      </c>
      <c r="H585">
        <v>11243.52</v>
      </c>
      <c r="I585">
        <v>11439.89</v>
      </c>
      <c r="J585">
        <v>196.36999999999898</v>
      </c>
      <c r="K585" s="1">
        <v>1.7465171049635611</v>
      </c>
      <c r="L585" t="s">
        <v>55</v>
      </c>
    </row>
    <row r="586" spans="1:12" x14ac:dyDescent="0.3">
      <c r="A586" t="s">
        <v>17</v>
      </c>
      <c r="B586" s="7">
        <v>45901</v>
      </c>
      <c r="C586" t="s">
        <v>21</v>
      </c>
      <c r="D586" t="s">
        <v>25</v>
      </c>
      <c r="E586" t="s">
        <v>30</v>
      </c>
      <c r="F586" t="s">
        <v>42</v>
      </c>
      <c r="G586" t="s">
        <v>47</v>
      </c>
      <c r="H586">
        <v>13568.97</v>
      </c>
      <c r="I586">
        <v>12818.91</v>
      </c>
      <c r="J586">
        <v>-750.05999999999949</v>
      </c>
      <c r="K586" s="1">
        <v>-5.5277592919727843</v>
      </c>
      <c r="L586" t="s">
        <v>55</v>
      </c>
    </row>
    <row r="587" spans="1:12" x14ac:dyDescent="0.3">
      <c r="A587" t="s">
        <v>17</v>
      </c>
      <c r="B587" s="7">
        <v>45901</v>
      </c>
      <c r="C587" t="s">
        <v>21</v>
      </c>
      <c r="D587" t="s">
        <v>25</v>
      </c>
      <c r="E587" t="s">
        <v>30</v>
      </c>
      <c r="F587" t="s">
        <v>42</v>
      </c>
      <c r="G587" t="s">
        <v>48</v>
      </c>
      <c r="H587">
        <v>7841.09</v>
      </c>
      <c r="I587">
        <v>9203.81</v>
      </c>
      <c r="J587">
        <v>1362.7199999999993</v>
      </c>
      <c r="K587" s="1">
        <v>17.379216409963401</v>
      </c>
      <c r="L587" t="s">
        <v>55</v>
      </c>
    </row>
    <row r="588" spans="1:12" x14ac:dyDescent="0.3">
      <c r="A588" t="s">
        <v>17</v>
      </c>
      <c r="B588" s="7">
        <v>45901</v>
      </c>
      <c r="C588" t="s">
        <v>21</v>
      </c>
      <c r="D588" t="s">
        <v>25</v>
      </c>
      <c r="E588" t="s">
        <v>30</v>
      </c>
      <c r="F588" t="s">
        <v>42</v>
      </c>
      <c r="G588" t="s">
        <v>49</v>
      </c>
      <c r="H588">
        <v>3951.81</v>
      </c>
      <c r="I588">
        <v>3697.85</v>
      </c>
      <c r="J588">
        <v>-253.96000000000004</v>
      </c>
      <c r="K588" s="1">
        <v>-6.4264223229355668</v>
      </c>
      <c r="L588" t="s">
        <v>55</v>
      </c>
    </row>
    <row r="589" spans="1:12" x14ac:dyDescent="0.3">
      <c r="A589" t="s">
        <v>17</v>
      </c>
      <c r="B589" s="7">
        <v>45901</v>
      </c>
      <c r="C589" t="s">
        <v>21</v>
      </c>
      <c r="D589" t="s">
        <v>25</v>
      </c>
      <c r="E589" t="s">
        <v>30</v>
      </c>
      <c r="F589" t="s">
        <v>42</v>
      </c>
      <c r="G589" t="s">
        <v>51</v>
      </c>
      <c r="H589">
        <v>6782.42</v>
      </c>
      <c r="I589">
        <v>6973.65</v>
      </c>
      <c r="J589">
        <v>191.22999999999956</v>
      </c>
      <c r="K589" s="1">
        <v>2.8194951064664169</v>
      </c>
      <c r="L589" t="s">
        <v>55</v>
      </c>
    </row>
    <row r="590" spans="1:12" x14ac:dyDescent="0.3">
      <c r="A590" t="s">
        <v>17</v>
      </c>
      <c r="B590" s="7">
        <v>45901</v>
      </c>
      <c r="C590" t="s">
        <v>21</v>
      </c>
      <c r="D590" t="s">
        <v>25</v>
      </c>
      <c r="E590" t="s">
        <v>31</v>
      </c>
      <c r="F590" t="s">
        <v>43</v>
      </c>
      <c r="G590" t="s">
        <v>45</v>
      </c>
      <c r="H590">
        <v>7916.4</v>
      </c>
      <c r="I590">
        <v>7008.41</v>
      </c>
      <c r="J590">
        <v>-907.98999999999978</v>
      </c>
      <c r="K590" s="1">
        <v>-11.469733717346266</v>
      </c>
      <c r="L590" t="s">
        <v>55</v>
      </c>
    </row>
    <row r="591" spans="1:12" x14ac:dyDescent="0.3">
      <c r="A591" t="s">
        <v>17</v>
      </c>
      <c r="B591" s="7">
        <v>45901</v>
      </c>
      <c r="C591" t="s">
        <v>21</v>
      </c>
      <c r="D591" t="s">
        <v>25</v>
      </c>
      <c r="E591" t="s">
        <v>31</v>
      </c>
      <c r="F591" t="s">
        <v>43</v>
      </c>
      <c r="G591" t="s">
        <v>46</v>
      </c>
      <c r="H591">
        <v>10859.55</v>
      </c>
      <c r="I591">
        <v>11170.33</v>
      </c>
      <c r="J591">
        <v>310.78000000000065</v>
      </c>
      <c r="K591" s="1">
        <v>2.8618128743824625</v>
      </c>
      <c r="L591" t="s">
        <v>55</v>
      </c>
    </row>
    <row r="592" spans="1:12" x14ac:dyDescent="0.3">
      <c r="A592" t="s">
        <v>17</v>
      </c>
      <c r="B592" s="7">
        <v>45901</v>
      </c>
      <c r="C592" t="s">
        <v>21</v>
      </c>
      <c r="D592" t="s">
        <v>25</v>
      </c>
      <c r="E592" t="s">
        <v>31</v>
      </c>
      <c r="F592" t="s">
        <v>43</v>
      </c>
      <c r="G592" t="s">
        <v>47</v>
      </c>
      <c r="H592">
        <v>23900.31</v>
      </c>
      <c r="I592">
        <v>23011.65</v>
      </c>
      <c r="J592">
        <v>-888.65999999999985</v>
      </c>
      <c r="K592" s="1">
        <v>-3.7181944501975073</v>
      </c>
      <c r="L592" t="s">
        <v>55</v>
      </c>
    </row>
    <row r="593" spans="1:12" x14ac:dyDescent="0.3">
      <c r="A593" t="s">
        <v>17</v>
      </c>
      <c r="B593" s="7">
        <v>45901</v>
      </c>
      <c r="C593" t="s">
        <v>21</v>
      </c>
      <c r="D593" t="s">
        <v>25</v>
      </c>
      <c r="E593" t="s">
        <v>31</v>
      </c>
      <c r="F593" t="s">
        <v>43</v>
      </c>
      <c r="G593" t="s">
        <v>48</v>
      </c>
      <c r="H593">
        <v>7907.01</v>
      </c>
      <c r="I593">
        <v>9152.91</v>
      </c>
      <c r="J593">
        <v>1245.8999999999996</v>
      </c>
      <c r="K593" s="1">
        <v>15.756904316549486</v>
      </c>
      <c r="L593" t="s">
        <v>55</v>
      </c>
    </row>
    <row r="594" spans="1:12" x14ac:dyDescent="0.3">
      <c r="A594" t="s">
        <v>17</v>
      </c>
      <c r="B594" s="7">
        <v>45901</v>
      </c>
      <c r="C594" t="s">
        <v>21</v>
      </c>
      <c r="D594" t="s">
        <v>25</v>
      </c>
      <c r="E594" t="s">
        <v>31</v>
      </c>
      <c r="F594" t="s">
        <v>43</v>
      </c>
      <c r="G594" t="s">
        <v>49</v>
      </c>
      <c r="H594">
        <v>2840.27</v>
      </c>
      <c r="I594">
        <v>3292.68</v>
      </c>
      <c r="J594">
        <v>452.40999999999985</v>
      </c>
      <c r="K594" s="1">
        <v>15.928415256296052</v>
      </c>
      <c r="L594" t="s">
        <v>55</v>
      </c>
    </row>
    <row r="595" spans="1:12" x14ac:dyDescent="0.3">
      <c r="A595" t="s">
        <v>17</v>
      </c>
      <c r="B595" s="7">
        <v>45901</v>
      </c>
      <c r="C595" t="s">
        <v>21</v>
      </c>
      <c r="D595" t="s">
        <v>25</v>
      </c>
      <c r="E595" t="s">
        <v>31</v>
      </c>
      <c r="F595" t="s">
        <v>43</v>
      </c>
      <c r="G595" t="s">
        <v>51</v>
      </c>
      <c r="H595">
        <v>6976.39</v>
      </c>
      <c r="I595">
        <v>6086.11</v>
      </c>
      <c r="J595">
        <v>-890.28000000000065</v>
      </c>
      <c r="K595" s="1">
        <v>-12.761327850077198</v>
      </c>
      <c r="L595" t="s">
        <v>55</v>
      </c>
    </row>
    <row r="596" spans="1:12" x14ac:dyDescent="0.3">
      <c r="A596" t="s">
        <v>17</v>
      </c>
      <c r="B596" s="7">
        <v>45901</v>
      </c>
      <c r="C596" t="s">
        <v>22</v>
      </c>
      <c r="D596" t="s">
        <v>26</v>
      </c>
      <c r="E596" t="s">
        <v>32</v>
      </c>
      <c r="F596" t="s">
        <v>41</v>
      </c>
      <c r="G596" t="s">
        <v>45</v>
      </c>
      <c r="H596">
        <v>6048.76</v>
      </c>
      <c r="I596">
        <v>6555.02</v>
      </c>
      <c r="J596">
        <v>506.26000000000022</v>
      </c>
      <c r="K596" s="1">
        <v>8.3696493165541401</v>
      </c>
      <c r="L596" t="s">
        <v>55</v>
      </c>
    </row>
    <row r="597" spans="1:12" x14ac:dyDescent="0.3">
      <c r="A597" t="s">
        <v>17</v>
      </c>
      <c r="B597" s="7">
        <v>45901</v>
      </c>
      <c r="C597" t="s">
        <v>22</v>
      </c>
      <c r="D597" t="s">
        <v>26</v>
      </c>
      <c r="E597" t="s">
        <v>32</v>
      </c>
      <c r="F597" t="s">
        <v>41</v>
      </c>
      <c r="G597" t="s">
        <v>46</v>
      </c>
      <c r="H597">
        <v>7113.69</v>
      </c>
      <c r="I597">
        <v>7413.3</v>
      </c>
      <c r="J597">
        <v>299.61000000000058</v>
      </c>
      <c r="K597" s="1">
        <v>4.2117382118141302</v>
      </c>
      <c r="L597" t="s">
        <v>55</v>
      </c>
    </row>
    <row r="598" spans="1:12" x14ac:dyDescent="0.3">
      <c r="A598" t="s">
        <v>17</v>
      </c>
      <c r="B598" s="7">
        <v>45901</v>
      </c>
      <c r="C598" t="s">
        <v>22</v>
      </c>
      <c r="D598" t="s">
        <v>26</v>
      </c>
      <c r="E598" t="s">
        <v>32</v>
      </c>
      <c r="F598" t="s">
        <v>41</v>
      </c>
      <c r="G598" t="s">
        <v>47</v>
      </c>
      <c r="H598">
        <v>17235.54</v>
      </c>
      <c r="I598">
        <v>18181.8</v>
      </c>
      <c r="J598">
        <v>946.2599999999984</v>
      </c>
      <c r="K598" s="1">
        <v>5.4901674098983753</v>
      </c>
      <c r="L598" t="s">
        <v>55</v>
      </c>
    </row>
    <row r="599" spans="1:12" x14ac:dyDescent="0.3">
      <c r="A599" t="s">
        <v>17</v>
      </c>
      <c r="B599" s="7">
        <v>45901</v>
      </c>
      <c r="C599" t="s">
        <v>22</v>
      </c>
      <c r="D599" t="s">
        <v>26</v>
      </c>
      <c r="E599" t="s">
        <v>32</v>
      </c>
      <c r="F599" t="s">
        <v>41</v>
      </c>
      <c r="G599" t="s">
        <v>48</v>
      </c>
      <c r="H599">
        <v>5442.12</v>
      </c>
      <c r="I599">
        <v>6190.99</v>
      </c>
      <c r="J599">
        <v>748.86999999999989</v>
      </c>
      <c r="K599" s="1">
        <v>13.760630048584005</v>
      </c>
      <c r="L599" t="s">
        <v>55</v>
      </c>
    </row>
    <row r="600" spans="1:12" x14ac:dyDescent="0.3">
      <c r="A600" t="s">
        <v>17</v>
      </c>
      <c r="B600" s="7">
        <v>45901</v>
      </c>
      <c r="C600" t="s">
        <v>22</v>
      </c>
      <c r="D600" t="s">
        <v>26</v>
      </c>
      <c r="E600" t="s">
        <v>32</v>
      </c>
      <c r="F600" t="s">
        <v>41</v>
      </c>
      <c r="G600" t="s">
        <v>49</v>
      </c>
      <c r="H600">
        <v>4669.33</v>
      </c>
      <c r="I600">
        <v>5461.85</v>
      </c>
      <c r="J600">
        <v>792.52000000000044</v>
      </c>
      <c r="K600" s="1">
        <v>16.972884760768686</v>
      </c>
      <c r="L600" t="s">
        <v>55</v>
      </c>
    </row>
    <row r="601" spans="1:12" x14ac:dyDescent="0.3">
      <c r="A601" t="s">
        <v>17</v>
      </c>
      <c r="B601" s="7">
        <v>45901</v>
      </c>
      <c r="C601" t="s">
        <v>22</v>
      </c>
      <c r="D601" t="s">
        <v>26</v>
      </c>
      <c r="E601" t="s">
        <v>32</v>
      </c>
      <c r="F601" t="s">
        <v>41</v>
      </c>
      <c r="G601" t="s">
        <v>51</v>
      </c>
      <c r="H601">
        <v>7198.75</v>
      </c>
      <c r="I601">
        <v>6427.97</v>
      </c>
      <c r="J601">
        <v>-770.77999999999975</v>
      </c>
      <c r="K601" s="1">
        <v>-10.707136655669384</v>
      </c>
      <c r="L601" t="s">
        <v>55</v>
      </c>
    </row>
    <row r="602" spans="1:12" x14ac:dyDescent="0.3">
      <c r="A602" t="s">
        <v>17</v>
      </c>
      <c r="B602" s="7">
        <v>45901</v>
      </c>
      <c r="C602" t="s">
        <v>22</v>
      </c>
      <c r="D602" t="s">
        <v>26</v>
      </c>
      <c r="E602" t="s">
        <v>33</v>
      </c>
      <c r="F602" t="s">
        <v>42</v>
      </c>
      <c r="G602" t="s">
        <v>45</v>
      </c>
      <c r="H602">
        <v>7832.23</v>
      </c>
      <c r="I602">
        <v>6720.94</v>
      </c>
      <c r="J602">
        <v>-1111.29</v>
      </c>
      <c r="K602" s="1">
        <v>-14.188679341643439</v>
      </c>
      <c r="L602" t="s">
        <v>55</v>
      </c>
    </row>
    <row r="603" spans="1:12" x14ac:dyDescent="0.3">
      <c r="A603" t="s">
        <v>17</v>
      </c>
      <c r="B603" s="7">
        <v>45901</v>
      </c>
      <c r="C603" t="s">
        <v>22</v>
      </c>
      <c r="D603" t="s">
        <v>26</v>
      </c>
      <c r="E603" t="s">
        <v>33</v>
      </c>
      <c r="F603" t="s">
        <v>42</v>
      </c>
      <c r="G603" t="s">
        <v>46</v>
      </c>
      <c r="H603">
        <v>6869.47</v>
      </c>
      <c r="I603">
        <v>6572.65</v>
      </c>
      <c r="J603">
        <v>-296.82000000000062</v>
      </c>
      <c r="K603" s="1">
        <v>-4.3208573587190946</v>
      </c>
      <c r="L603" t="s">
        <v>55</v>
      </c>
    </row>
    <row r="604" spans="1:12" x14ac:dyDescent="0.3">
      <c r="A604" t="s">
        <v>17</v>
      </c>
      <c r="B604" s="7">
        <v>45901</v>
      </c>
      <c r="C604" t="s">
        <v>22</v>
      </c>
      <c r="D604" t="s">
        <v>26</v>
      </c>
      <c r="E604" t="s">
        <v>33</v>
      </c>
      <c r="F604" t="s">
        <v>42</v>
      </c>
      <c r="G604" t="s">
        <v>47</v>
      </c>
      <c r="H604">
        <v>18777.349999999999</v>
      </c>
      <c r="I604">
        <v>20734.59</v>
      </c>
      <c r="J604">
        <v>1957.2400000000016</v>
      </c>
      <c r="K604" s="1">
        <v>10.423409053993252</v>
      </c>
      <c r="L604" t="s">
        <v>55</v>
      </c>
    </row>
    <row r="605" spans="1:12" x14ac:dyDescent="0.3">
      <c r="A605" t="s">
        <v>17</v>
      </c>
      <c r="B605" s="7">
        <v>45901</v>
      </c>
      <c r="C605" t="s">
        <v>22</v>
      </c>
      <c r="D605" t="s">
        <v>26</v>
      </c>
      <c r="E605" t="s">
        <v>33</v>
      </c>
      <c r="F605" t="s">
        <v>42</v>
      </c>
      <c r="G605" t="s">
        <v>48</v>
      </c>
      <c r="H605">
        <v>8119.84</v>
      </c>
      <c r="I605">
        <v>8096.68</v>
      </c>
      <c r="J605">
        <v>-23.159999999999854</v>
      </c>
      <c r="K605" s="1">
        <v>-0.28522729511911382</v>
      </c>
      <c r="L605" t="s">
        <v>55</v>
      </c>
    </row>
    <row r="606" spans="1:12" x14ac:dyDescent="0.3">
      <c r="A606" t="s">
        <v>17</v>
      </c>
      <c r="B606" s="7">
        <v>45901</v>
      </c>
      <c r="C606" t="s">
        <v>22</v>
      </c>
      <c r="D606" t="s">
        <v>26</v>
      </c>
      <c r="E606" t="s">
        <v>33</v>
      </c>
      <c r="F606" t="s">
        <v>42</v>
      </c>
      <c r="G606" t="s">
        <v>49</v>
      </c>
      <c r="H606">
        <v>3199.62</v>
      </c>
      <c r="I606">
        <v>3772.51</v>
      </c>
      <c r="J606">
        <v>572.89000000000033</v>
      </c>
      <c r="K606" s="1">
        <v>17.904938711471999</v>
      </c>
      <c r="L606" t="s">
        <v>55</v>
      </c>
    </row>
    <row r="607" spans="1:12" x14ac:dyDescent="0.3">
      <c r="A607" t="s">
        <v>17</v>
      </c>
      <c r="B607" s="7">
        <v>45901</v>
      </c>
      <c r="C607" t="s">
        <v>22</v>
      </c>
      <c r="D607" t="s">
        <v>26</v>
      </c>
      <c r="E607" t="s">
        <v>33</v>
      </c>
      <c r="F607" t="s">
        <v>42</v>
      </c>
      <c r="G607" t="s">
        <v>51</v>
      </c>
      <c r="H607">
        <v>6034.25</v>
      </c>
      <c r="I607">
        <v>6027.96</v>
      </c>
      <c r="J607">
        <v>-6.2899999999999636</v>
      </c>
      <c r="K607" s="1">
        <v>-0.10423830633467231</v>
      </c>
      <c r="L607" t="s">
        <v>55</v>
      </c>
    </row>
    <row r="608" spans="1:12" x14ac:dyDescent="0.3">
      <c r="A608" t="s">
        <v>17</v>
      </c>
      <c r="B608" s="7">
        <v>45901</v>
      </c>
      <c r="C608" t="s">
        <v>22</v>
      </c>
      <c r="D608" t="s">
        <v>26</v>
      </c>
      <c r="E608" t="s">
        <v>34</v>
      </c>
      <c r="F608" t="s">
        <v>43</v>
      </c>
      <c r="G608" t="s">
        <v>45</v>
      </c>
      <c r="H608">
        <v>5513.13</v>
      </c>
      <c r="I608">
        <v>6132.19</v>
      </c>
      <c r="J608">
        <v>619.05999999999949</v>
      </c>
      <c r="K608" s="1">
        <v>11.228830083818075</v>
      </c>
      <c r="L608" t="s">
        <v>55</v>
      </c>
    </row>
    <row r="609" spans="1:12" x14ac:dyDescent="0.3">
      <c r="A609" t="s">
        <v>17</v>
      </c>
      <c r="B609" s="7">
        <v>45901</v>
      </c>
      <c r="C609" t="s">
        <v>22</v>
      </c>
      <c r="D609" t="s">
        <v>26</v>
      </c>
      <c r="E609" t="s">
        <v>34</v>
      </c>
      <c r="F609" t="s">
        <v>43</v>
      </c>
      <c r="G609" t="s">
        <v>46</v>
      </c>
      <c r="H609">
        <v>10495.88</v>
      </c>
      <c r="I609">
        <v>9686.17</v>
      </c>
      <c r="J609">
        <v>-809.70999999999913</v>
      </c>
      <c r="K609" s="1">
        <v>-7.7145508523344315</v>
      </c>
      <c r="L609" t="s">
        <v>55</v>
      </c>
    </row>
    <row r="610" spans="1:12" x14ac:dyDescent="0.3">
      <c r="A610" t="s">
        <v>17</v>
      </c>
      <c r="B610" s="7">
        <v>45901</v>
      </c>
      <c r="C610" t="s">
        <v>22</v>
      </c>
      <c r="D610" t="s">
        <v>26</v>
      </c>
      <c r="E610" t="s">
        <v>34</v>
      </c>
      <c r="F610" t="s">
        <v>43</v>
      </c>
      <c r="G610" t="s">
        <v>47</v>
      </c>
      <c r="H610">
        <v>14389.72</v>
      </c>
      <c r="I610">
        <v>15462.68</v>
      </c>
      <c r="J610">
        <v>1072.9600000000009</v>
      </c>
      <c r="K610" s="1">
        <v>7.4564341766205384</v>
      </c>
      <c r="L610" t="s">
        <v>55</v>
      </c>
    </row>
    <row r="611" spans="1:12" x14ac:dyDescent="0.3">
      <c r="A611" t="s">
        <v>17</v>
      </c>
      <c r="B611" s="7">
        <v>45901</v>
      </c>
      <c r="C611" t="s">
        <v>22</v>
      </c>
      <c r="D611" t="s">
        <v>26</v>
      </c>
      <c r="E611" t="s">
        <v>34</v>
      </c>
      <c r="F611" t="s">
        <v>43</v>
      </c>
      <c r="G611" t="s">
        <v>48</v>
      </c>
      <c r="H611">
        <v>7998.95</v>
      </c>
      <c r="I611">
        <v>7520.42</v>
      </c>
      <c r="J611">
        <v>-478.52999999999975</v>
      </c>
      <c r="K611" s="1">
        <v>-5.9824101913376104</v>
      </c>
      <c r="L611" t="s">
        <v>55</v>
      </c>
    </row>
    <row r="612" spans="1:12" x14ac:dyDescent="0.3">
      <c r="A612" t="s">
        <v>17</v>
      </c>
      <c r="B612" s="7">
        <v>45901</v>
      </c>
      <c r="C612" t="s">
        <v>22</v>
      </c>
      <c r="D612" t="s">
        <v>26</v>
      </c>
      <c r="E612" t="s">
        <v>34</v>
      </c>
      <c r="F612" t="s">
        <v>43</v>
      </c>
      <c r="G612" t="s">
        <v>49</v>
      </c>
      <c r="H612">
        <v>4621.8100000000004</v>
      </c>
      <c r="I612">
        <v>4158.93</v>
      </c>
      <c r="J612">
        <v>-462.88000000000011</v>
      </c>
      <c r="K612" s="1">
        <v>-10.015123944947977</v>
      </c>
      <c r="L612" t="s">
        <v>55</v>
      </c>
    </row>
    <row r="613" spans="1:12" x14ac:dyDescent="0.3">
      <c r="A613" t="s">
        <v>17</v>
      </c>
      <c r="B613" s="7">
        <v>45901</v>
      </c>
      <c r="C613" t="s">
        <v>22</v>
      </c>
      <c r="D613" t="s">
        <v>26</v>
      </c>
      <c r="E613" t="s">
        <v>34</v>
      </c>
      <c r="F613" t="s">
        <v>43</v>
      </c>
      <c r="G613" t="s">
        <v>51</v>
      </c>
      <c r="H613">
        <v>6056.41</v>
      </c>
      <c r="I613">
        <v>7033.87</v>
      </c>
      <c r="J613">
        <v>977.46</v>
      </c>
      <c r="K613" s="1">
        <v>16.139264019443864</v>
      </c>
      <c r="L613" t="s">
        <v>55</v>
      </c>
    </row>
    <row r="614" spans="1:12" x14ac:dyDescent="0.3">
      <c r="A614" t="s">
        <v>17</v>
      </c>
      <c r="B614" s="7">
        <v>45901</v>
      </c>
      <c r="C614" t="s">
        <v>23</v>
      </c>
      <c r="D614" t="s">
        <v>27</v>
      </c>
      <c r="E614" t="s">
        <v>35</v>
      </c>
      <c r="F614" t="s">
        <v>41</v>
      </c>
      <c r="G614" t="s">
        <v>45</v>
      </c>
      <c r="H614">
        <v>6511.94</v>
      </c>
      <c r="I614">
        <v>6907.3</v>
      </c>
      <c r="J614">
        <v>395.36000000000058</v>
      </c>
      <c r="K614" s="1">
        <v>6.0713090108324188</v>
      </c>
      <c r="L614" t="s">
        <v>55</v>
      </c>
    </row>
    <row r="615" spans="1:12" x14ac:dyDescent="0.3">
      <c r="A615" t="s">
        <v>17</v>
      </c>
      <c r="B615" s="7">
        <v>45901</v>
      </c>
      <c r="C615" t="s">
        <v>23</v>
      </c>
      <c r="D615" t="s">
        <v>27</v>
      </c>
      <c r="E615" t="s">
        <v>35</v>
      </c>
      <c r="F615" t="s">
        <v>41</v>
      </c>
      <c r="G615" t="s">
        <v>46</v>
      </c>
      <c r="H615">
        <v>8897.01</v>
      </c>
      <c r="I615">
        <v>11388.1728</v>
      </c>
      <c r="J615">
        <v>2491.1628000000001</v>
      </c>
      <c r="K615" s="1">
        <v>28.000000000000004</v>
      </c>
      <c r="L615" t="s">
        <v>55</v>
      </c>
    </row>
    <row r="616" spans="1:12" x14ac:dyDescent="0.3">
      <c r="A616" t="s">
        <v>17</v>
      </c>
      <c r="B616" s="7">
        <v>45901</v>
      </c>
      <c r="C616" t="s">
        <v>23</v>
      </c>
      <c r="D616" t="s">
        <v>27</v>
      </c>
      <c r="E616" t="s">
        <v>35</v>
      </c>
      <c r="F616" t="s">
        <v>41</v>
      </c>
      <c r="G616" t="s">
        <v>47</v>
      </c>
      <c r="H616">
        <v>24126.959999999999</v>
      </c>
      <c r="I616">
        <v>23766.99</v>
      </c>
      <c r="J616">
        <v>-359.96999999999753</v>
      </c>
      <c r="K616" s="1">
        <v>-1.4919824130350343</v>
      </c>
      <c r="L616" t="s">
        <v>55</v>
      </c>
    </row>
    <row r="617" spans="1:12" x14ac:dyDescent="0.3">
      <c r="A617" t="s">
        <v>17</v>
      </c>
      <c r="B617" s="7">
        <v>45901</v>
      </c>
      <c r="C617" t="s">
        <v>23</v>
      </c>
      <c r="D617" t="s">
        <v>27</v>
      </c>
      <c r="E617" t="s">
        <v>35</v>
      </c>
      <c r="F617" t="s">
        <v>41</v>
      </c>
      <c r="G617" t="s">
        <v>48</v>
      </c>
      <c r="H617">
        <v>9005.2199999999993</v>
      </c>
      <c r="I617">
        <v>8337.7999999999993</v>
      </c>
      <c r="J617">
        <v>-667.42000000000007</v>
      </c>
      <c r="K617" s="1">
        <v>-7.4114791198882441</v>
      </c>
      <c r="L617" t="s">
        <v>55</v>
      </c>
    </row>
    <row r="618" spans="1:12" x14ac:dyDescent="0.3">
      <c r="A618" t="s">
        <v>17</v>
      </c>
      <c r="B618" s="7">
        <v>45901</v>
      </c>
      <c r="C618" t="s">
        <v>23</v>
      </c>
      <c r="D618" t="s">
        <v>27</v>
      </c>
      <c r="E618" t="s">
        <v>35</v>
      </c>
      <c r="F618" t="s">
        <v>41</v>
      </c>
      <c r="G618" t="s">
        <v>49</v>
      </c>
      <c r="H618">
        <v>3072.52</v>
      </c>
      <c r="I618">
        <v>2643.21</v>
      </c>
      <c r="J618">
        <v>-429.30999999999995</v>
      </c>
      <c r="K618" s="1">
        <v>-13.972569747308397</v>
      </c>
      <c r="L618" t="s">
        <v>55</v>
      </c>
    </row>
    <row r="619" spans="1:12" x14ac:dyDescent="0.3">
      <c r="A619" t="s">
        <v>17</v>
      </c>
      <c r="B619" s="7">
        <v>45901</v>
      </c>
      <c r="C619" t="s">
        <v>23</v>
      </c>
      <c r="D619" t="s">
        <v>27</v>
      </c>
      <c r="E619" t="s">
        <v>35</v>
      </c>
      <c r="F619" t="s">
        <v>41</v>
      </c>
      <c r="G619" t="s">
        <v>51</v>
      </c>
      <c r="H619">
        <v>6846</v>
      </c>
      <c r="I619">
        <v>6651.67</v>
      </c>
      <c r="J619">
        <v>-194.32999999999993</v>
      </c>
      <c r="K619" s="1">
        <v>-2.8385918784691779</v>
      </c>
      <c r="L619" t="s">
        <v>55</v>
      </c>
    </row>
    <row r="620" spans="1:12" x14ac:dyDescent="0.3">
      <c r="A620" t="s">
        <v>17</v>
      </c>
      <c r="B620" s="7">
        <v>45901</v>
      </c>
      <c r="C620" t="s">
        <v>23</v>
      </c>
      <c r="D620" t="s">
        <v>27</v>
      </c>
      <c r="E620" t="s">
        <v>36</v>
      </c>
      <c r="F620" t="s">
        <v>44</v>
      </c>
      <c r="G620" t="s">
        <v>45</v>
      </c>
      <c r="H620">
        <v>8246</v>
      </c>
      <c r="I620">
        <v>8296.7900000000009</v>
      </c>
      <c r="J620">
        <v>50.790000000000873</v>
      </c>
      <c r="K620" s="1">
        <v>0.6159349987873014</v>
      </c>
      <c r="L620" t="s">
        <v>55</v>
      </c>
    </row>
    <row r="621" spans="1:12" x14ac:dyDescent="0.3">
      <c r="A621" t="s">
        <v>17</v>
      </c>
      <c r="B621" s="7">
        <v>45901</v>
      </c>
      <c r="C621" t="s">
        <v>23</v>
      </c>
      <c r="D621" t="s">
        <v>27</v>
      </c>
      <c r="E621" t="s">
        <v>36</v>
      </c>
      <c r="F621" t="s">
        <v>44</v>
      </c>
      <c r="G621" t="s">
        <v>46</v>
      </c>
      <c r="H621">
        <v>11978.24</v>
      </c>
      <c r="I621">
        <v>10914.86</v>
      </c>
      <c r="J621">
        <v>-1063.3799999999992</v>
      </c>
      <c r="K621" s="1">
        <v>-8.8775980444539364</v>
      </c>
      <c r="L621" t="s">
        <v>55</v>
      </c>
    </row>
    <row r="622" spans="1:12" x14ac:dyDescent="0.3">
      <c r="A622" t="s">
        <v>17</v>
      </c>
      <c r="B622" s="7">
        <v>45901</v>
      </c>
      <c r="C622" t="s">
        <v>23</v>
      </c>
      <c r="D622" t="s">
        <v>27</v>
      </c>
      <c r="E622" t="s">
        <v>36</v>
      </c>
      <c r="F622" t="s">
        <v>44</v>
      </c>
      <c r="G622" t="s">
        <v>47</v>
      </c>
      <c r="H622">
        <v>22881.13</v>
      </c>
      <c r="I622">
        <v>25312.87</v>
      </c>
      <c r="J622">
        <v>2431.739999999998</v>
      </c>
      <c r="K622" s="1">
        <v>10.627709383234123</v>
      </c>
      <c r="L622" t="s">
        <v>55</v>
      </c>
    </row>
    <row r="623" spans="1:12" x14ac:dyDescent="0.3">
      <c r="A623" t="s">
        <v>17</v>
      </c>
      <c r="B623" s="7">
        <v>45901</v>
      </c>
      <c r="C623" t="s">
        <v>23</v>
      </c>
      <c r="D623" t="s">
        <v>27</v>
      </c>
      <c r="E623" t="s">
        <v>36</v>
      </c>
      <c r="F623" t="s">
        <v>44</v>
      </c>
      <c r="G623" t="s">
        <v>48</v>
      </c>
      <c r="H623">
        <v>8487.8700000000008</v>
      </c>
      <c r="I623">
        <v>9580.93</v>
      </c>
      <c r="J623">
        <v>1093.0599999999995</v>
      </c>
      <c r="K623" s="1">
        <v>12.87790694249558</v>
      </c>
      <c r="L623" t="s">
        <v>55</v>
      </c>
    </row>
    <row r="624" spans="1:12" x14ac:dyDescent="0.3">
      <c r="A624" t="s">
        <v>17</v>
      </c>
      <c r="B624" s="7">
        <v>45901</v>
      </c>
      <c r="C624" t="s">
        <v>23</v>
      </c>
      <c r="D624" t="s">
        <v>27</v>
      </c>
      <c r="E624" t="s">
        <v>36</v>
      </c>
      <c r="F624" t="s">
        <v>44</v>
      </c>
      <c r="G624" t="s">
        <v>49</v>
      </c>
      <c r="H624">
        <v>4223.1499999999996</v>
      </c>
      <c r="I624">
        <v>4462.3999999999996</v>
      </c>
      <c r="J624">
        <v>239.25</v>
      </c>
      <c r="K624" s="1">
        <v>5.6652025147105833</v>
      </c>
      <c r="L624" t="s">
        <v>55</v>
      </c>
    </row>
    <row r="625" spans="1:12" x14ac:dyDescent="0.3">
      <c r="A625" t="s">
        <v>17</v>
      </c>
      <c r="B625" s="7">
        <v>45901</v>
      </c>
      <c r="C625" t="s">
        <v>23</v>
      </c>
      <c r="D625" t="s">
        <v>27</v>
      </c>
      <c r="E625" t="s">
        <v>36</v>
      </c>
      <c r="F625" t="s">
        <v>44</v>
      </c>
      <c r="G625" t="s">
        <v>51</v>
      </c>
      <c r="H625">
        <v>4972.4799999999996</v>
      </c>
      <c r="I625">
        <v>4279.9799999999996</v>
      </c>
      <c r="J625">
        <v>-692.5</v>
      </c>
      <c r="K625" s="1">
        <v>-13.926652294227429</v>
      </c>
      <c r="L625" t="s">
        <v>55</v>
      </c>
    </row>
    <row r="626" spans="1:12" x14ac:dyDescent="0.3">
      <c r="A626" t="s">
        <v>17</v>
      </c>
      <c r="B626" s="7">
        <v>45901</v>
      </c>
      <c r="C626" t="s">
        <v>23</v>
      </c>
      <c r="D626" t="s">
        <v>27</v>
      </c>
      <c r="E626" t="s">
        <v>37</v>
      </c>
      <c r="F626" t="s">
        <v>43</v>
      </c>
      <c r="G626" t="s">
        <v>45</v>
      </c>
      <c r="H626">
        <v>8466.31</v>
      </c>
      <c r="I626">
        <v>8919.2099999999991</v>
      </c>
      <c r="J626">
        <v>452.89999999999964</v>
      </c>
      <c r="K626" s="1">
        <v>5.3494379487639794</v>
      </c>
      <c r="L626" t="s">
        <v>55</v>
      </c>
    </row>
    <row r="627" spans="1:12" x14ac:dyDescent="0.3">
      <c r="A627" t="s">
        <v>17</v>
      </c>
      <c r="B627" s="7">
        <v>45901</v>
      </c>
      <c r="C627" t="s">
        <v>23</v>
      </c>
      <c r="D627" t="s">
        <v>27</v>
      </c>
      <c r="E627" t="s">
        <v>37</v>
      </c>
      <c r="F627" t="s">
        <v>43</v>
      </c>
      <c r="G627" t="s">
        <v>46</v>
      </c>
      <c r="H627">
        <v>11051.3</v>
      </c>
      <c r="I627">
        <v>11149.68</v>
      </c>
      <c r="J627">
        <v>98.380000000001019</v>
      </c>
      <c r="K627" s="1">
        <v>0.89021201125660354</v>
      </c>
      <c r="L627" t="s">
        <v>55</v>
      </c>
    </row>
    <row r="628" spans="1:12" x14ac:dyDescent="0.3">
      <c r="A628" t="s">
        <v>17</v>
      </c>
      <c r="B628" s="7">
        <v>45901</v>
      </c>
      <c r="C628" t="s">
        <v>23</v>
      </c>
      <c r="D628" t="s">
        <v>27</v>
      </c>
      <c r="E628" t="s">
        <v>37</v>
      </c>
      <c r="F628" t="s">
        <v>43</v>
      </c>
      <c r="G628" t="s">
        <v>47</v>
      </c>
      <c r="H628">
        <v>14766.93</v>
      </c>
      <c r="I628">
        <v>13161.93</v>
      </c>
      <c r="J628">
        <v>-1605</v>
      </c>
      <c r="K628" s="1">
        <v>-10.868880667816534</v>
      </c>
      <c r="L628" t="s">
        <v>55</v>
      </c>
    </row>
    <row r="629" spans="1:12" x14ac:dyDescent="0.3">
      <c r="A629" t="s">
        <v>17</v>
      </c>
      <c r="B629" s="7">
        <v>45901</v>
      </c>
      <c r="C629" t="s">
        <v>23</v>
      </c>
      <c r="D629" t="s">
        <v>27</v>
      </c>
      <c r="E629" t="s">
        <v>37</v>
      </c>
      <c r="F629" t="s">
        <v>43</v>
      </c>
      <c r="G629" t="s">
        <v>48</v>
      </c>
      <c r="H629">
        <v>8129.37</v>
      </c>
      <c r="I629">
        <v>8064.35</v>
      </c>
      <c r="J629">
        <v>-65.019999999999527</v>
      </c>
      <c r="K629" s="1">
        <v>-0.79981597589972564</v>
      </c>
      <c r="L629" t="s">
        <v>55</v>
      </c>
    </row>
    <row r="630" spans="1:12" x14ac:dyDescent="0.3">
      <c r="A630" t="s">
        <v>17</v>
      </c>
      <c r="B630" s="7">
        <v>45901</v>
      </c>
      <c r="C630" t="s">
        <v>23</v>
      </c>
      <c r="D630" t="s">
        <v>27</v>
      </c>
      <c r="E630" t="s">
        <v>37</v>
      </c>
      <c r="F630" t="s">
        <v>43</v>
      </c>
      <c r="G630" t="s">
        <v>49</v>
      </c>
      <c r="H630">
        <v>3046.1</v>
      </c>
      <c r="I630">
        <v>3083.34</v>
      </c>
      <c r="J630">
        <v>37.240000000000236</v>
      </c>
      <c r="K630" s="1">
        <v>1.2225468632021352</v>
      </c>
      <c r="L630" t="s">
        <v>55</v>
      </c>
    </row>
    <row r="631" spans="1:12" x14ac:dyDescent="0.3">
      <c r="A631" t="s">
        <v>17</v>
      </c>
      <c r="B631" s="7">
        <v>45901</v>
      </c>
      <c r="C631" t="s">
        <v>23</v>
      </c>
      <c r="D631" t="s">
        <v>27</v>
      </c>
      <c r="E631" t="s">
        <v>37</v>
      </c>
      <c r="F631" t="s">
        <v>43</v>
      </c>
      <c r="G631" t="s">
        <v>51</v>
      </c>
      <c r="H631">
        <v>4731.1499999999996</v>
      </c>
      <c r="I631">
        <v>4930.1000000000004</v>
      </c>
      <c r="J631">
        <v>198.95000000000073</v>
      </c>
      <c r="K631" s="1">
        <v>4.2051086945034664</v>
      </c>
      <c r="L631" t="s">
        <v>55</v>
      </c>
    </row>
    <row r="632" spans="1:12" x14ac:dyDescent="0.3">
      <c r="A632" t="s">
        <v>17</v>
      </c>
      <c r="B632" s="7">
        <v>45901</v>
      </c>
      <c r="C632" t="s">
        <v>24</v>
      </c>
      <c r="D632" t="s">
        <v>28</v>
      </c>
      <c r="E632" t="s">
        <v>38</v>
      </c>
      <c r="F632" t="s">
        <v>41</v>
      </c>
      <c r="G632" t="s">
        <v>45</v>
      </c>
      <c r="H632">
        <v>5924.07</v>
      </c>
      <c r="I632">
        <v>6594.65</v>
      </c>
      <c r="J632">
        <v>670.57999999999993</v>
      </c>
      <c r="K632" s="1">
        <v>11.319582651791757</v>
      </c>
      <c r="L632" t="s">
        <v>55</v>
      </c>
    </row>
    <row r="633" spans="1:12" x14ac:dyDescent="0.3">
      <c r="A633" t="s">
        <v>17</v>
      </c>
      <c r="B633" s="7">
        <v>45901</v>
      </c>
      <c r="C633" t="s">
        <v>24</v>
      </c>
      <c r="D633" t="s">
        <v>28</v>
      </c>
      <c r="E633" t="s">
        <v>38</v>
      </c>
      <c r="F633" t="s">
        <v>41</v>
      </c>
      <c r="G633" t="s">
        <v>46</v>
      </c>
      <c r="H633">
        <v>8425.9500000000007</v>
      </c>
      <c r="I633">
        <v>8427.83</v>
      </c>
      <c r="J633">
        <v>1.8799999999991996</v>
      </c>
      <c r="K633" s="1">
        <v>2.2312024163437943E-2</v>
      </c>
      <c r="L633" t="s">
        <v>55</v>
      </c>
    </row>
    <row r="634" spans="1:12" x14ac:dyDescent="0.3">
      <c r="A634" t="s">
        <v>17</v>
      </c>
      <c r="B634" s="7">
        <v>45901</v>
      </c>
      <c r="C634" t="s">
        <v>24</v>
      </c>
      <c r="D634" t="s">
        <v>28</v>
      </c>
      <c r="E634" t="s">
        <v>38</v>
      </c>
      <c r="F634" t="s">
        <v>41</v>
      </c>
      <c r="G634" t="s">
        <v>47</v>
      </c>
      <c r="H634">
        <v>13625.5</v>
      </c>
      <c r="I634">
        <v>11907.43</v>
      </c>
      <c r="J634">
        <v>-1718.0699999999997</v>
      </c>
      <c r="K634" s="1">
        <v>-12.609225349528455</v>
      </c>
      <c r="L634" t="s">
        <v>55</v>
      </c>
    </row>
    <row r="635" spans="1:12" x14ac:dyDescent="0.3">
      <c r="A635" t="s">
        <v>17</v>
      </c>
      <c r="B635" s="7">
        <v>45901</v>
      </c>
      <c r="C635" t="s">
        <v>24</v>
      </c>
      <c r="D635" t="s">
        <v>28</v>
      </c>
      <c r="E635" t="s">
        <v>38</v>
      </c>
      <c r="F635" t="s">
        <v>41</v>
      </c>
      <c r="G635" t="s">
        <v>48</v>
      </c>
      <c r="H635">
        <v>6898.47</v>
      </c>
      <c r="I635">
        <v>6956.28</v>
      </c>
      <c r="J635">
        <v>57.809999999999491</v>
      </c>
      <c r="K635" s="1">
        <v>0.83801190698806383</v>
      </c>
      <c r="L635" t="s">
        <v>55</v>
      </c>
    </row>
    <row r="636" spans="1:12" x14ac:dyDescent="0.3">
      <c r="A636" t="s">
        <v>17</v>
      </c>
      <c r="B636" s="7">
        <v>45901</v>
      </c>
      <c r="C636" t="s">
        <v>24</v>
      </c>
      <c r="D636" t="s">
        <v>28</v>
      </c>
      <c r="E636" t="s">
        <v>38</v>
      </c>
      <c r="F636" t="s">
        <v>41</v>
      </c>
      <c r="G636" t="s">
        <v>49</v>
      </c>
      <c r="H636">
        <v>3885.04</v>
      </c>
      <c r="I636">
        <v>3676.22</v>
      </c>
      <c r="J636">
        <v>-208.82000000000016</v>
      </c>
      <c r="K636" s="1">
        <v>-5.374976834215353</v>
      </c>
      <c r="L636" t="s">
        <v>55</v>
      </c>
    </row>
    <row r="637" spans="1:12" x14ac:dyDescent="0.3">
      <c r="A637" t="s">
        <v>17</v>
      </c>
      <c r="B637" s="7">
        <v>45901</v>
      </c>
      <c r="C637" t="s">
        <v>24</v>
      </c>
      <c r="D637" t="s">
        <v>28</v>
      </c>
      <c r="E637" t="s">
        <v>38</v>
      </c>
      <c r="F637" t="s">
        <v>41</v>
      </c>
      <c r="G637" t="s">
        <v>51</v>
      </c>
      <c r="H637">
        <v>7001.93</v>
      </c>
      <c r="I637">
        <v>7939.08</v>
      </c>
      <c r="J637">
        <v>937.14999999999964</v>
      </c>
      <c r="K637" s="1">
        <v>13.384166936830269</v>
      </c>
      <c r="L637" t="s">
        <v>55</v>
      </c>
    </row>
    <row r="638" spans="1:12" x14ac:dyDescent="0.3">
      <c r="A638" t="s">
        <v>17</v>
      </c>
      <c r="B638" s="7">
        <v>45901</v>
      </c>
      <c r="C638" t="s">
        <v>24</v>
      </c>
      <c r="D638" t="s">
        <v>28</v>
      </c>
      <c r="E638" t="s">
        <v>39</v>
      </c>
      <c r="F638" t="s">
        <v>44</v>
      </c>
      <c r="G638" t="s">
        <v>45</v>
      </c>
      <c r="H638">
        <v>7916.42</v>
      </c>
      <c r="I638">
        <v>6832.46</v>
      </c>
      <c r="J638">
        <v>-1083.96</v>
      </c>
      <c r="K638" s="1">
        <v>-13.692552946912873</v>
      </c>
      <c r="L638" t="s">
        <v>55</v>
      </c>
    </row>
    <row r="639" spans="1:12" x14ac:dyDescent="0.3">
      <c r="A639" t="s">
        <v>17</v>
      </c>
      <c r="B639" s="7">
        <v>45901</v>
      </c>
      <c r="C639" t="s">
        <v>24</v>
      </c>
      <c r="D639" t="s">
        <v>28</v>
      </c>
      <c r="E639" t="s">
        <v>39</v>
      </c>
      <c r="F639" t="s">
        <v>44</v>
      </c>
      <c r="G639" t="s">
        <v>46</v>
      </c>
      <c r="H639">
        <v>9344.74</v>
      </c>
      <c r="I639">
        <v>8266.61</v>
      </c>
      <c r="J639">
        <v>-1078.1299999999992</v>
      </c>
      <c r="K639" s="1">
        <v>-11.537292637355339</v>
      </c>
      <c r="L639" t="s">
        <v>55</v>
      </c>
    </row>
    <row r="640" spans="1:12" x14ac:dyDescent="0.3">
      <c r="A640" t="s">
        <v>17</v>
      </c>
      <c r="B640" s="7">
        <v>45901</v>
      </c>
      <c r="C640" t="s">
        <v>24</v>
      </c>
      <c r="D640" t="s">
        <v>28</v>
      </c>
      <c r="E640" t="s">
        <v>39</v>
      </c>
      <c r="F640" t="s">
        <v>44</v>
      </c>
      <c r="G640" t="s">
        <v>47</v>
      </c>
      <c r="H640">
        <v>16114.09</v>
      </c>
      <c r="I640">
        <v>18943.7</v>
      </c>
      <c r="J640">
        <v>2829.6100000000006</v>
      </c>
      <c r="K640" s="1">
        <v>17.559849796048059</v>
      </c>
      <c r="L640" t="s">
        <v>55</v>
      </c>
    </row>
    <row r="641" spans="1:12" x14ac:dyDescent="0.3">
      <c r="A641" t="s">
        <v>17</v>
      </c>
      <c r="B641" s="7">
        <v>45901</v>
      </c>
      <c r="C641" t="s">
        <v>24</v>
      </c>
      <c r="D641" t="s">
        <v>28</v>
      </c>
      <c r="E641" t="s">
        <v>39</v>
      </c>
      <c r="F641" t="s">
        <v>44</v>
      </c>
      <c r="G641" t="s">
        <v>48</v>
      </c>
      <c r="H641">
        <v>5848.48</v>
      </c>
      <c r="I641">
        <v>5934.06</v>
      </c>
      <c r="J641">
        <v>85.580000000000837</v>
      </c>
      <c r="K641" s="1">
        <v>1.4632861871802734</v>
      </c>
      <c r="L641" t="s">
        <v>55</v>
      </c>
    </row>
    <row r="642" spans="1:12" x14ac:dyDescent="0.3">
      <c r="A642" t="s">
        <v>17</v>
      </c>
      <c r="B642" s="7">
        <v>45901</v>
      </c>
      <c r="C642" t="s">
        <v>24</v>
      </c>
      <c r="D642" t="s">
        <v>28</v>
      </c>
      <c r="E642" t="s">
        <v>39</v>
      </c>
      <c r="F642" t="s">
        <v>44</v>
      </c>
      <c r="G642" t="s">
        <v>49</v>
      </c>
      <c r="H642">
        <v>3923.13</v>
      </c>
      <c r="I642">
        <v>4244.09</v>
      </c>
      <c r="J642">
        <v>320.96000000000004</v>
      </c>
      <c r="K642" s="1">
        <v>8.1812226462034143</v>
      </c>
      <c r="L642" t="s">
        <v>55</v>
      </c>
    </row>
    <row r="643" spans="1:12" x14ac:dyDescent="0.3">
      <c r="A643" t="s">
        <v>17</v>
      </c>
      <c r="B643" s="7">
        <v>45901</v>
      </c>
      <c r="C643" t="s">
        <v>24</v>
      </c>
      <c r="D643" t="s">
        <v>28</v>
      </c>
      <c r="E643" t="s">
        <v>39</v>
      </c>
      <c r="F643" t="s">
        <v>44</v>
      </c>
      <c r="G643" t="s">
        <v>51</v>
      </c>
      <c r="H643">
        <v>6514.74</v>
      </c>
      <c r="I643">
        <v>5558.53</v>
      </c>
      <c r="J643">
        <v>-956.21</v>
      </c>
      <c r="K643" s="1">
        <v>-14.677638708528661</v>
      </c>
      <c r="L643" t="s">
        <v>55</v>
      </c>
    </row>
    <row r="644" spans="1:12" x14ac:dyDescent="0.3">
      <c r="A644" t="s">
        <v>17</v>
      </c>
      <c r="B644" s="7">
        <v>45901</v>
      </c>
      <c r="C644" t="s">
        <v>24</v>
      </c>
      <c r="D644" t="s">
        <v>28</v>
      </c>
      <c r="E644" t="s">
        <v>40</v>
      </c>
      <c r="F644" t="s">
        <v>43</v>
      </c>
      <c r="G644" t="s">
        <v>45</v>
      </c>
      <c r="H644">
        <v>6148.2</v>
      </c>
      <c r="I644">
        <v>6276.36</v>
      </c>
      <c r="J644">
        <v>128.15999999999985</v>
      </c>
      <c r="K644" s="1">
        <v>2.0845125402556826</v>
      </c>
      <c r="L644" t="s">
        <v>55</v>
      </c>
    </row>
    <row r="645" spans="1:12" x14ac:dyDescent="0.3">
      <c r="A645" t="s">
        <v>17</v>
      </c>
      <c r="B645" s="7">
        <v>45901</v>
      </c>
      <c r="C645" t="s">
        <v>24</v>
      </c>
      <c r="D645" t="s">
        <v>28</v>
      </c>
      <c r="E645" t="s">
        <v>40</v>
      </c>
      <c r="F645" t="s">
        <v>43</v>
      </c>
      <c r="G645" t="s">
        <v>46</v>
      </c>
      <c r="H645">
        <v>7224.48</v>
      </c>
      <c r="I645">
        <v>6976.73</v>
      </c>
      <c r="J645">
        <v>-247.75</v>
      </c>
      <c r="K645" s="1">
        <v>-3.4293125595198553</v>
      </c>
      <c r="L645" t="s">
        <v>55</v>
      </c>
    </row>
    <row r="646" spans="1:12" x14ac:dyDescent="0.3">
      <c r="A646" t="s">
        <v>17</v>
      </c>
      <c r="B646" s="7">
        <v>45901</v>
      </c>
      <c r="C646" t="s">
        <v>24</v>
      </c>
      <c r="D646" t="s">
        <v>28</v>
      </c>
      <c r="E646" t="s">
        <v>40</v>
      </c>
      <c r="F646" t="s">
        <v>43</v>
      </c>
      <c r="G646" t="s">
        <v>47</v>
      </c>
      <c r="H646">
        <v>13858.59</v>
      </c>
      <c r="I646">
        <v>12139.17</v>
      </c>
      <c r="J646">
        <v>-1719.42</v>
      </c>
      <c r="K646" s="1">
        <v>-12.406889878407544</v>
      </c>
      <c r="L646" t="s">
        <v>55</v>
      </c>
    </row>
    <row r="647" spans="1:12" x14ac:dyDescent="0.3">
      <c r="A647" t="s">
        <v>17</v>
      </c>
      <c r="B647" s="7">
        <v>45901</v>
      </c>
      <c r="C647" t="s">
        <v>24</v>
      </c>
      <c r="D647" t="s">
        <v>28</v>
      </c>
      <c r="E647" t="s">
        <v>40</v>
      </c>
      <c r="F647" t="s">
        <v>43</v>
      </c>
      <c r="G647" t="s">
        <v>48</v>
      </c>
      <c r="H647">
        <v>6917.08</v>
      </c>
      <c r="I647">
        <v>6182.46</v>
      </c>
      <c r="J647">
        <v>-734.61999999999989</v>
      </c>
      <c r="K647" s="1">
        <v>-10.62037738467677</v>
      </c>
      <c r="L647" t="s">
        <v>55</v>
      </c>
    </row>
    <row r="648" spans="1:12" x14ac:dyDescent="0.3">
      <c r="A648" t="s">
        <v>17</v>
      </c>
      <c r="B648" s="7">
        <v>45901</v>
      </c>
      <c r="C648" t="s">
        <v>24</v>
      </c>
      <c r="D648" t="s">
        <v>28</v>
      </c>
      <c r="E648" t="s">
        <v>40</v>
      </c>
      <c r="F648" t="s">
        <v>43</v>
      </c>
      <c r="G648" t="s">
        <v>49</v>
      </c>
      <c r="H648">
        <v>3816.84</v>
      </c>
      <c r="I648">
        <v>4112.7299999999996</v>
      </c>
      <c r="J648">
        <v>295.88999999999942</v>
      </c>
      <c r="K648" s="1">
        <v>7.7522243531297983</v>
      </c>
      <c r="L648" t="s">
        <v>55</v>
      </c>
    </row>
    <row r="649" spans="1:12" x14ac:dyDescent="0.3">
      <c r="A649" t="s">
        <v>17</v>
      </c>
      <c r="B649" s="7">
        <v>45901</v>
      </c>
      <c r="C649" t="s">
        <v>24</v>
      </c>
      <c r="D649" t="s">
        <v>28</v>
      </c>
      <c r="E649" t="s">
        <v>40</v>
      </c>
      <c r="F649" t="s">
        <v>43</v>
      </c>
      <c r="G649" t="s">
        <v>51</v>
      </c>
      <c r="H649">
        <v>7382.11</v>
      </c>
      <c r="I649">
        <v>6762.38</v>
      </c>
      <c r="J649">
        <v>-619.72999999999956</v>
      </c>
      <c r="K649" s="1">
        <v>-8.395025270552722</v>
      </c>
      <c r="L649" t="s">
        <v>55</v>
      </c>
    </row>
    <row r="650" spans="1:12" x14ac:dyDescent="0.3">
      <c r="A650" t="s">
        <v>18</v>
      </c>
      <c r="B650" s="7">
        <v>45931</v>
      </c>
      <c r="C650" t="s">
        <v>21</v>
      </c>
      <c r="D650" t="s">
        <v>25</v>
      </c>
      <c r="E650" t="s">
        <v>29</v>
      </c>
      <c r="F650" t="s">
        <v>41</v>
      </c>
      <c r="G650" t="s">
        <v>45</v>
      </c>
      <c r="H650">
        <v>5528.18</v>
      </c>
      <c r="I650">
        <v>4889.72</v>
      </c>
      <c r="J650">
        <v>-638.46</v>
      </c>
      <c r="K650" s="1">
        <v>-11.549189787597365</v>
      </c>
      <c r="L650" t="s">
        <v>55</v>
      </c>
    </row>
    <row r="651" spans="1:12" x14ac:dyDescent="0.3">
      <c r="A651" t="s">
        <v>18</v>
      </c>
      <c r="B651" s="7">
        <v>45931</v>
      </c>
      <c r="C651" t="s">
        <v>21</v>
      </c>
      <c r="D651" t="s">
        <v>25</v>
      </c>
      <c r="E651" t="s">
        <v>29</v>
      </c>
      <c r="F651" t="s">
        <v>41</v>
      </c>
      <c r="G651" t="s">
        <v>46</v>
      </c>
      <c r="H651">
        <v>10186.719999999999</v>
      </c>
      <c r="I651">
        <v>11033.62</v>
      </c>
      <c r="J651">
        <v>846.90000000000146</v>
      </c>
      <c r="K651" s="1">
        <v>8.313765372956178</v>
      </c>
      <c r="L651" t="s">
        <v>55</v>
      </c>
    </row>
    <row r="652" spans="1:12" x14ac:dyDescent="0.3">
      <c r="A652" t="s">
        <v>18</v>
      </c>
      <c r="B652" s="7">
        <v>45931</v>
      </c>
      <c r="C652" t="s">
        <v>21</v>
      </c>
      <c r="D652" t="s">
        <v>25</v>
      </c>
      <c r="E652" t="s">
        <v>29</v>
      </c>
      <c r="F652" t="s">
        <v>41</v>
      </c>
      <c r="G652" t="s">
        <v>47</v>
      </c>
      <c r="H652">
        <v>13841.13</v>
      </c>
      <c r="I652">
        <v>16041.18</v>
      </c>
      <c r="J652">
        <v>2200.0500000000011</v>
      </c>
      <c r="K652" s="1">
        <v>15.895017242089345</v>
      </c>
      <c r="L652" t="s">
        <v>55</v>
      </c>
    </row>
    <row r="653" spans="1:12" x14ac:dyDescent="0.3">
      <c r="A653" t="s">
        <v>18</v>
      </c>
      <c r="B653" s="7">
        <v>45931</v>
      </c>
      <c r="C653" t="s">
        <v>21</v>
      </c>
      <c r="D653" t="s">
        <v>25</v>
      </c>
      <c r="E653" t="s">
        <v>29</v>
      </c>
      <c r="F653" t="s">
        <v>41</v>
      </c>
      <c r="G653" t="s">
        <v>48</v>
      </c>
      <c r="H653">
        <v>5468.28</v>
      </c>
      <c r="I653">
        <v>5624.82</v>
      </c>
      <c r="J653">
        <v>156.53999999999996</v>
      </c>
      <c r="K653" s="1">
        <v>2.862691742193157</v>
      </c>
      <c r="L653" t="s">
        <v>55</v>
      </c>
    </row>
    <row r="654" spans="1:12" x14ac:dyDescent="0.3">
      <c r="A654" t="s">
        <v>18</v>
      </c>
      <c r="B654" s="7">
        <v>45931</v>
      </c>
      <c r="C654" t="s">
        <v>21</v>
      </c>
      <c r="D654" t="s">
        <v>25</v>
      </c>
      <c r="E654" t="s">
        <v>29</v>
      </c>
      <c r="F654" t="s">
        <v>41</v>
      </c>
      <c r="G654" t="s">
        <v>49</v>
      </c>
      <c r="H654">
        <v>4114.03</v>
      </c>
      <c r="I654">
        <v>4679.38</v>
      </c>
      <c r="J654">
        <v>565.35000000000036</v>
      </c>
      <c r="K654" s="1">
        <v>13.741999936801639</v>
      </c>
      <c r="L654" t="s">
        <v>55</v>
      </c>
    </row>
    <row r="655" spans="1:12" x14ac:dyDescent="0.3">
      <c r="A655" t="s">
        <v>18</v>
      </c>
      <c r="B655" s="7">
        <v>45931</v>
      </c>
      <c r="C655" t="s">
        <v>21</v>
      </c>
      <c r="D655" t="s">
        <v>25</v>
      </c>
      <c r="E655" t="s">
        <v>29</v>
      </c>
      <c r="F655" t="s">
        <v>41</v>
      </c>
      <c r="G655" t="s">
        <v>51</v>
      </c>
      <c r="H655">
        <v>7070.71</v>
      </c>
      <c r="I655">
        <v>7880.81</v>
      </c>
      <c r="J655">
        <v>810.10000000000036</v>
      </c>
      <c r="K655" s="1">
        <v>11.45712382490585</v>
      </c>
      <c r="L655" t="s">
        <v>55</v>
      </c>
    </row>
    <row r="656" spans="1:12" x14ac:dyDescent="0.3">
      <c r="A656" t="s">
        <v>18</v>
      </c>
      <c r="B656" s="7">
        <v>45931</v>
      </c>
      <c r="C656" t="s">
        <v>21</v>
      </c>
      <c r="D656" t="s">
        <v>25</v>
      </c>
      <c r="E656" t="s">
        <v>30</v>
      </c>
      <c r="F656" t="s">
        <v>42</v>
      </c>
      <c r="G656" t="s">
        <v>45</v>
      </c>
      <c r="H656">
        <v>6198.86</v>
      </c>
      <c r="I656">
        <v>6935.85</v>
      </c>
      <c r="J656">
        <v>736.99000000000069</v>
      </c>
      <c r="K656" s="1">
        <v>11.889121548155639</v>
      </c>
      <c r="L656" t="s">
        <v>55</v>
      </c>
    </row>
    <row r="657" spans="1:12" x14ac:dyDescent="0.3">
      <c r="A657" t="s">
        <v>18</v>
      </c>
      <c r="B657" s="7">
        <v>45931</v>
      </c>
      <c r="C657" t="s">
        <v>21</v>
      </c>
      <c r="D657" t="s">
        <v>25</v>
      </c>
      <c r="E657" t="s">
        <v>30</v>
      </c>
      <c r="F657" t="s">
        <v>42</v>
      </c>
      <c r="G657" t="s">
        <v>46</v>
      </c>
      <c r="H657">
        <v>7182.62</v>
      </c>
      <c r="I657">
        <v>8226.18</v>
      </c>
      <c r="J657">
        <v>1043.5600000000004</v>
      </c>
      <c r="K657" s="1">
        <v>14.528960184445236</v>
      </c>
      <c r="L657" t="s">
        <v>55</v>
      </c>
    </row>
    <row r="658" spans="1:12" x14ac:dyDescent="0.3">
      <c r="A658" t="s">
        <v>18</v>
      </c>
      <c r="B658" s="7">
        <v>45931</v>
      </c>
      <c r="C658" t="s">
        <v>21</v>
      </c>
      <c r="D658" t="s">
        <v>25</v>
      </c>
      <c r="E658" t="s">
        <v>30</v>
      </c>
      <c r="F658" t="s">
        <v>42</v>
      </c>
      <c r="G658" t="s">
        <v>47</v>
      </c>
      <c r="H658">
        <v>19414</v>
      </c>
      <c r="I658">
        <v>21738.01</v>
      </c>
      <c r="J658">
        <v>2324.0099999999984</v>
      </c>
      <c r="K658" s="1">
        <v>11.970794272174711</v>
      </c>
      <c r="L658" t="s">
        <v>55</v>
      </c>
    </row>
    <row r="659" spans="1:12" x14ac:dyDescent="0.3">
      <c r="A659" t="s">
        <v>18</v>
      </c>
      <c r="B659" s="7">
        <v>45931</v>
      </c>
      <c r="C659" t="s">
        <v>21</v>
      </c>
      <c r="D659" t="s">
        <v>25</v>
      </c>
      <c r="E659" t="s">
        <v>30</v>
      </c>
      <c r="F659" t="s">
        <v>42</v>
      </c>
      <c r="G659" t="s">
        <v>48</v>
      </c>
      <c r="H659">
        <v>7149.74</v>
      </c>
      <c r="I659">
        <v>7595.74</v>
      </c>
      <c r="J659">
        <v>446</v>
      </c>
      <c r="K659" s="1">
        <v>6.2379890737285555</v>
      </c>
      <c r="L659" t="s">
        <v>55</v>
      </c>
    </row>
    <row r="660" spans="1:12" x14ac:dyDescent="0.3">
      <c r="A660" t="s">
        <v>18</v>
      </c>
      <c r="B660" s="7">
        <v>45931</v>
      </c>
      <c r="C660" t="s">
        <v>21</v>
      </c>
      <c r="D660" t="s">
        <v>25</v>
      </c>
      <c r="E660" t="s">
        <v>30</v>
      </c>
      <c r="F660" t="s">
        <v>42</v>
      </c>
      <c r="G660" t="s">
        <v>49</v>
      </c>
      <c r="H660">
        <v>3730.45</v>
      </c>
      <c r="I660">
        <v>4071.5</v>
      </c>
      <c r="J660">
        <v>341.05000000000018</v>
      </c>
      <c r="K660" s="1">
        <v>9.1423286734844371</v>
      </c>
      <c r="L660" t="s">
        <v>55</v>
      </c>
    </row>
    <row r="661" spans="1:12" x14ac:dyDescent="0.3">
      <c r="A661" t="s">
        <v>18</v>
      </c>
      <c r="B661" s="7">
        <v>45931</v>
      </c>
      <c r="C661" t="s">
        <v>21</v>
      </c>
      <c r="D661" t="s">
        <v>25</v>
      </c>
      <c r="E661" t="s">
        <v>30</v>
      </c>
      <c r="F661" t="s">
        <v>42</v>
      </c>
      <c r="G661" t="s">
        <v>51</v>
      </c>
      <c r="H661">
        <v>4793.87</v>
      </c>
      <c r="I661">
        <v>4170.26</v>
      </c>
      <c r="J661">
        <v>-623.60999999999967</v>
      </c>
      <c r="K661" s="1">
        <v>-13.008487923118475</v>
      </c>
      <c r="L661" t="s">
        <v>55</v>
      </c>
    </row>
    <row r="662" spans="1:12" x14ac:dyDescent="0.3">
      <c r="A662" t="s">
        <v>18</v>
      </c>
      <c r="B662" s="7">
        <v>45931</v>
      </c>
      <c r="C662" t="s">
        <v>21</v>
      </c>
      <c r="D662" t="s">
        <v>25</v>
      </c>
      <c r="E662" t="s">
        <v>31</v>
      </c>
      <c r="F662" t="s">
        <v>43</v>
      </c>
      <c r="G662" t="s">
        <v>45</v>
      </c>
      <c r="H662">
        <v>5838.7</v>
      </c>
      <c r="I662">
        <v>5270.3</v>
      </c>
      <c r="J662">
        <v>-568.39999999999964</v>
      </c>
      <c r="K662" s="1">
        <v>-9.735043759741032</v>
      </c>
      <c r="L662" t="s">
        <v>55</v>
      </c>
    </row>
    <row r="663" spans="1:12" x14ac:dyDescent="0.3">
      <c r="A663" t="s">
        <v>18</v>
      </c>
      <c r="B663" s="7">
        <v>45931</v>
      </c>
      <c r="C663" t="s">
        <v>21</v>
      </c>
      <c r="D663" t="s">
        <v>25</v>
      </c>
      <c r="E663" t="s">
        <v>31</v>
      </c>
      <c r="F663" t="s">
        <v>43</v>
      </c>
      <c r="G663" t="s">
        <v>46</v>
      </c>
      <c r="H663">
        <v>11457.63</v>
      </c>
      <c r="I663">
        <v>10567.84</v>
      </c>
      <c r="J663">
        <v>-889.78999999999905</v>
      </c>
      <c r="K663" s="1">
        <v>-7.7659166860860331</v>
      </c>
      <c r="L663" t="s">
        <v>55</v>
      </c>
    </row>
    <row r="664" spans="1:12" x14ac:dyDescent="0.3">
      <c r="A664" t="s">
        <v>18</v>
      </c>
      <c r="B664" s="7">
        <v>45931</v>
      </c>
      <c r="C664" t="s">
        <v>21</v>
      </c>
      <c r="D664" t="s">
        <v>25</v>
      </c>
      <c r="E664" t="s">
        <v>31</v>
      </c>
      <c r="F664" t="s">
        <v>43</v>
      </c>
      <c r="G664" t="s">
        <v>47</v>
      </c>
      <c r="H664">
        <v>24039.34</v>
      </c>
      <c r="I664">
        <v>23106.03</v>
      </c>
      <c r="J664">
        <v>-933.31000000000131</v>
      </c>
      <c r="K664" s="1">
        <v>-3.8824277205613851</v>
      </c>
      <c r="L664" t="s">
        <v>55</v>
      </c>
    </row>
    <row r="665" spans="1:12" x14ac:dyDescent="0.3">
      <c r="A665" t="s">
        <v>18</v>
      </c>
      <c r="B665" s="7">
        <v>45931</v>
      </c>
      <c r="C665" t="s">
        <v>21</v>
      </c>
      <c r="D665" t="s">
        <v>25</v>
      </c>
      <c r="E665" t="s">
        <v>31</v>
      </c>
      <c r="F665" t="s">
        <v>43</v>
      </c>
      <c r="G665" t="s">
        <v>48</v>
      </c>
      <c r="H665">
        <v>6014.9</v>
      </c>
      <c r="I665">
        <v>6680.15</v>
      </c>
      <c r="J665">
        <v>665.25</v>
      </c>
      <c r="K665" s="1">
        <v>11.060034248283431</v>
      </c>
      <c r="L665" t="s">
        <v>55</v>
      </c>
    </row>
    <row r="666" spans="1:12" x14ac:dyDescent="0.3">
      <c r="A666" t="s">
        <v>18</v>
      </c>
      <c r="B666" s="7">
        <v>45931</v>
      </c>
      <c r="C666" t="s">
        <v>21</v>
      </c>
      <c r="D666" t="s">
        <v>25</v>
      </c>
      <c r="E666" t="s">
        <v>31</v>
      </c>
      <c r="F666" t="s">
        <v>43</v>
      </c>
      <c r="G666" t="s">
        <v>49</v>
      </c>
      <c r="H666">
        <v>4008.29</v>
      </c>
      <c r="I666">
        <v>4066.02</v>
      </c>
      <c r="J666">
        <v>57.730000000000018</v>
      </c>
      <c r="K666" s="1">
        <v>1.440265050682461</v>
      </c>
      <c r="L666" t="s">
        <v>55</v>
      </c>
    </row>
    <row r="667" spans="1:12" x14ac:dyDescent="0.3">
      <c r="A667" t="s">
        <v>18</v>
      </c>
      <c r="B667" s="7">
        <v>45931</v>
      </c>
      <c r="C667" t="s">
        <v>21</v>
      </c>
      <c r="D667" t="s">
        <v>25</v>
      </c>
      <c r="E667" t="s">
        <v>31</v>
      </c>
      <c r="F667" t="s">
        <v>43</v>
      </c>
      <c r="G667" t="s">
        <v>51</v>
      </c>
      <c r="H667">
        <v>6499.31</v>
      </c>
      <c r="I667">
        <v>7066.94</v>
      </c>
      <c r="J667">
        <v>567.6299999999992</v>
      </c>
      <c r="K667" s="1">
        <v>8.733696346227509</v>
      </c>
      <c r="L667" t="s">
        <v>55</v>
      </c>
    </row>
    <row r="668" spans="1:12" x14ac:dyDescent="0.3">
      <c r="A668" t="s">
        <v>18</v>
      </c>
      <c r="B668" s="7">
        <v>45931</v>
      </c>
      <c r="C668" t="s">
        <v>22</v>
      </c>
      <c r="D668" t="s">
        <v>26</v>
      </c>
      <c r="E668" t="s">
        <v>32</v>
      </c>
      <c r="F668" t="s">
        <v>41</v>
      </c>
      <c r="G668" t="s">
        <v>45</v>
      </c>
      <c r="H668">
        <v>5765.97</v>
      </c>
      <c r="I668">
        <v>6796.87</v>
      </c>
      <c r="J668">
        <v>1030.8999999999996</v>
      </c>
      <c r="K668" s="1">
        <v>17.879038565930792</v>
      </c>
      <c r="L668" t="s">
        <v>55</v>
      </c>
    </row>
    <row r="669" spans="1:12" x14ac:dyDescent="0.3">
      <c r="A669" t="s">
        <v>18</v>
      </c>
      <c r="B669" s="7">
        <v>45931</v>
      </c>
      <c r="C669" t="s">
        <v>22</v>
      </c>
      <c r="D669" t="s">
        <v>26</v>
      </c>
      <c r="E669" t="s">
        <v>32</v>
      </c>
      <c r="F669" t="s">
        <v>41</v>
      </c>
      <c r="G669" t="s">
        <v>46</v>
      </c>
      <c r="H669">
        <v>12013.88</v>
      </c>
      <c r="I669">
        <v>12790.07</v>
      </c>
      <c r="J669">
        <v>776.19000000000051</v>
      </c>
      <c r="K669" s="1">
        <v>6.4607770345633604</v>
      </c>
      <c r="L669" t="s">
        <v>55</v>
      </c>
    </row>
    <row r="670" spans="1:12" x14ac:dyDescent="0.3">
      <c r="A670" t="s">
        <v>18</v>
      </c>
      <c r="B670" s="7">
        <v>45931</v>
      </c>
      <c r="C670" t="s">
        <v>22</v>
      </c>
      <c r="D670" t="s">
        <v>26</v>
      </c>
      <c r="E670" t="s">
        <v>32</v>
      </c>
      <c r="F670" t="s">
        <v>41</v>
      </c>
      <c r="G670" t="s">
        <v>47</v>
      </c>
      <c r="H670">
        <v>15655.06</v>
      </c>
      <c r="I670">
        <v>16820.97</v>
      </c>
      <c r="J670">
        <v>1165.9100000000017</v>
      </c>
      <c r="K670" s="1">
        <v>7.4474962088934937</v>
      </c>
      <c r="L670" t="s">
        <v>55</v>
      </c>
    </row>
    <row r="671" spans="1:12" x14ac:dyDescent="0.3">
      <c r="A671" t="s">
        <v>18</v>
      </c>
      <c r="B671" s="7">
        <v>45931</v>
      </c>
      <c r="C671" t="s">
        <v>22</v>
      </c>
      <c r="D671" t="s">
        <v>26</v>
      </c>
      <c r="E671" t="s">
        <v>32</v>
      </c>
      <c r="F671" t="s">
        <v>41</v>
      </c>
      <c r="G671" t="s">
        <v>48</v>
      </c>
      <c r="H671">
        <v>5553.23</v>
      </c>
      <c r="I671">
        <v>4776.42</v>
      </c>
      <c r="J671">
        <v>-776.80999999999949</v>
      </c>
      <c r="K671" s="1">
        <v>-13.988435559125042</v>
      </c>
      <c r="L671" t="s">
        <v>55</v>
      </c>
    </row>
    <row r="672" spans="1:12" x14ac:dyDescent="0.3">
      <c r="A672" t="s">
        <v>18</v>
      </c>
      <c r="B672" s="7">
        <v>45931</v>
      </c>
      <c r="C672" t="s">
        <v>22</v>
      </c>
      <c r="D672" t="s">
        <v>26</v>
      </c>
      <c r="E672" t="s">
        <v>32</v>
      </c>
      <c r="F672" t="s">
        <v>41</v>
      </c>
      <c r="G672" t="s">
        <v>49</v>
      </c>
      <c r="H672">
        <v>3166.13</v>
      </c>
      <c r="I672">
        <v>3174.57</v>
      </c>
      <c r="J672">
        <v>8.4400000000000546</v>
      </c>
      <c r="K672" s="1">
        <v>0.26657149264243901</v>
      </c>
      <c r="L672" t="s">
        <v>55</v>
      </c>
    </row>
    <row r="673" spans="1:12" x14ac:dyDescent="0.3">
      <c r="A673" t="s">
        <v>18</v>
      </c>
      <c r="B673" s="7">
        <v>45931</v>
      </c>
      <c r="C673" t="s">
        <v>22</v>
      </c>
      <c r="D673" t="s">
        <v>26</v>
      </c>
      <c r="E673" t="s">
        <v>32</v>
      </c>
      <c r="F673" t="s">
        <v>41</v>
      </c>
      <c r="G673" t="s">
        <v>51</v>
      </c>
      <c r="H673">
        <v>7625.78</v>
      </c>
      <c r="I673">
        <v>8311.84</v>
      </c>
      <c r="J673">
        <v>686.0600000000004</v>
      </c>
      <c r="K673" s="1">
        <v>8.9965878900256815</v>
      </c>
      <c r="L673" t="s">
        <v>55</v>
      </c>
    </row>
    <row r="674" spans="1:12" x14ac:dyDescent="0.3">
      <c r="A674" t="s">
        <v>18</v>
      </c>
      <c r="B674" s="7">
        <v>45931</v>
      </c>
      <c r="C674" t="s">
        <v>22</v>
      </c>
      <c r="D674" t="s">
        <v>26</v>
      </c>
      <c r="E674" t="s">
        <v>33</v>
      </c>
      <c r="F674" t="s">
        <v>42</v>
      </c>
      <c r="G674" t="s">
        <v>45</v>
      </c>
      <c r="H674">
        <v>7771.56</v>
      </c>
      <c r="I674">
        <v>7697.05</v>
      </c>
      <c r="J674">
        <v>-74.510000000000218</v>
      </c>
      <c r="K674" s="1">
        <v>-0.9587521681618647</v>
      </c>
      <c r="L674" t="s">
        <v>55</v>
      </c>
    </row>
    <row r="675" spans="1:12" x14ac:dyDescent="0.3">
      <c r="A675" t="s">
        <v>18</v>
      </c>
      <c r="B675" s="7">
        <v>45931</v>
      </c>
      <c r="C675" t="s">
        <v>22</v>
      </c>
      <c r="D675" t="s">
        <v>26</v>
      </c>
      <c r="E675" t="s">
        <v>33</v>
      </c>
      <c r="F675" t="s">
        <v>42</v>
      </c>
      <c r="G675" t="s">
        <v>46</v>
      </c>
      <c r="H675">
        <v>8618.0499999999993</v>
      </c>
      <c r="I675">
        <v>8380.56</v>
      </c>
      <c r="J675">
        <v>-237.48999999999978</v>
      </c>
      <c r="K675" s="1">
        <v>-2.7557278038535378</v>
      </c>
      <c r="L675" t="s">
        <v>55</v>
      </c>
    </row>
    <row r="676" spans="1:12" x14ac:dyDescent="0.3">
      <c r="A676" t="s">
        <v>18</v>
      </c>
      <c r="B676" s="7">
        <v>45931</v>
      </c>
      <c r="C676" t="s">
        <v>22</v>
      </c>
      <c r="D676" t="s">
        <v>26</v>
      </c>
      <c r="E676" t="s">
        <v>33</v>
      </c>
      <c r="F676" t="s">
        <v>42</v>
      </c>
      <c r="G676" t="s">
        <v>47</v>
      </c>
      <c r="H676">
        <v>24166.62</v>
      </c>
      <c r="I676">
        <v>20861.490000000002</v>
      </c>
      <c r="J676">
        <v>-3305.1299999999974</v>
      </c>
      <c r="K676" s="1">
        <v>-13.676426409650988</v>
      </c>
      <c r="L676" t="s">
        <v>55</v>
      </c>
    </row>
    <row r="677" spans="1:12" x14ac:dyDescent="0.3">
      <c r="A677" t="s">
        <v>18</v>
      </c>
      <c r="B677" s="7">
        <v>45931</v>
      </c>
      <c r="C677" t="s">
        <v>22</v>
      </c>
      <c r="D677" t="s">
        <v>26</v>
      </c>
      <c r="E677" t="s">
        <v>33</v>
      </c>
      <c r="F677" t="s">
        <v>42</v>
      </c>
      <c r="G677" t="s">
        <v>48</v>
      </c>
      <c r="H677">
        <v>8891.5300000000007</v>
      </c>
      <c r="I677">
        <v>9255.76</v>
      </c>
      <c r="J677">
        <v>364.22999999999956</v>
      </c>
      <c r="K677" s="1">
        <v>4.0963703659550106</v>
      </c>
      <c r="L677" t="s">
        <v>55</v>
      </c>
    </row>
    <row r="678" spans="1:12" x14ac:dyDescent="0.3">
      <c r="A678" t="s">
        <v>18</v>
      </c>
      <c r="B678" s="7">
        <v>45931</v>
      </c>
      <c r="C678" t="s">
        <v>22</v>
      </c>
      <c r="D678" t="s">
        <v>26</v>
      </c>
      <c r="E678" t="s">
        <v>33</v>
      </c>
      <c r="F678" t="s">
        <v>42</v>
      </c>
      <c r="G678" t="s">
        <v>49</v>
      </c>
      <c r="H678">
        <v>3546.09</v>
      </c>
      <c r="I678">
        <v>3862.88</v>
      </c>
      <c r="J678">
        <v>316.78999999999996</v>
      </c>
      <c r="K678" s="1">
        <v>8.9335014057736828</v>
      </c>
      <c r="L678" t="s">
        <v>55</v>
      </c>
    </row>
    <row r="679" spans="1:12" x14ac:dyDescent="0.3">
      <c r="A679" t="s">
        <v>18</v>
      </c>
      <c r="B679" s="7">
        <v>45931</v>
      </c>
      <c r="C679" t="s">
        <v>22</v>
      </c>
      <c r="D679" t="s">
        <v>26</v>
      </c>
      <c r="E679" t="s">
        <v>33</v>
      </c>
      <c r="F679" t="s">
        <v>42</v>
      </c>
      <c r="G679" t="s">
        <v>51</v>
      </c>
      <c r="H679">
        <v>6252.01</v>
      </c>
      <c r="I679">
        <v>7116.22</v>
      </c>
      <c r="J679">
        <v>864.21</v>
      </c>
      <c r="K679" s="1">
        <v>13.822914550680501</v>
      </c>
      <c r="L679" t="s">
        <v>55</v>
      </c>
    </row>
    <row r="680" spans="1:12" x14ac:dyDescent="0.3">
      <c r="A680" t="s">
        <v>18</v>
      </c>
      <c r="B680" s="7">
        <v>45931</v>
      </c>
      <c r="C680" t="s">
        <v>22</v>
      </c>
      <c r="D680" t="s">
        <v>26</v>
      </c>
      <c r="E680" t="s">
        <v>34</v>
      </c>
      <c r="F680" t="s">
        <v>43</v>
      </c>
      <c r="G680" t="s">
        <v>45</v>
      </c>
      <c r="H680">
        <v>8387.74</v>
      </c>
      <c r="I680">
        <v>8296.8799999999992</v>
      </c>
      <c r="J680">
        <v>-90.860000000000582</v>
      </c>
      <c r="K680" s="1">
        <v>-1.0832476924654386</v>
      </c>
      <c r="L680" t="s">
        <v>55</v>
      </c>
    </row>
    <row r="681" spans="1:12" x14ac:dyDescent="0.3">
      <c r="A681" t="s">
        <v>18</v>
      </c>
      <c r="B681" s="7">
        <v>45931</v>
      </c>
      <c r="C681" t="s">
        <v>22</v>
      </c>
      <c r="D681" t="s">
        <v>26</v>
      </c>
      <c r="E681" t="s">
        <v>34</v>
      </c>
      <c r="F681" t="s">
        <v>43</v>
      </c>
      <c r="G681" t="s">
        <v>46</v>
      </c>
      <c r="H681">
        <v>8244.8700000000008</v>
      </c>
      <c r="I681">
        <v>8619.81</v>
      </c>
      <c r="J681">
        <v>374.93999999999869</v>
      </c>
      <c r="K681" s="1">
        <v>4.5475550251246979</v>
      </c>
      <c r="L681" t="s">
        <v>55</v>
      </c>
    </row>
    <row r="682" spans="1:12" x14ac:dyDescent="0.3">
      <c r="A682" t="s">
        <v>18</v>
      </c>
      <c r="B682" s="7">
        <v>45931</v>
      </c>
      <c r="C682" t="s">
        <v>22</v>
      </c>
      <c r="D682" t="s">
        <v>26</v>
      </c>
      <c r="E682" t="s">
        <v>34</v>
      </c>
      <c r="F682" t="s">
        <v>43</v>
      </c>
      <c r="G682" t="s">
        <v>47</v>
      </c>
      <c r="H682">
        <v>23353.52</v>
      </c>
      <c r="I682">
        <v>21474</v>
      </c>
      <c r="J682">
        <v>-1879.5200000000004</v>
      </c>
      <c r="K682" s="1">
        <v>-8.0481229382123143</v>
      </c>
      <c r="L682" t="s">
        <v>55</v>
      </c>
    </row>
    <row r="683" spans="1:12" x14ac:dyDescent="0.3">
      <c r="A683" t="s">
        <v>18</v>
      </c>
      <c r="B683" s="7">
        <v>45931</v>
      </c>
      <c r="C683" t="s">
        <v>22</v>
      </c>
      <c r="D683" t="s">
        <v>26</v>
      </c>
      <c r="E683" t="s">
        <v>34</v>
      </c>
      <c r="F683" t="s">
        <v>43</v>
      </c>
      <c r="G683" t="s">
        <v>48</v>
      </c>
      <c r="H683">
        <v>7866.46</v>
      </c>
      <c r="I683">
        <v>8325.98</v>
      </c>
      <c r="J683">
        <v>459.51999999999953</v>
      </c>
      <c r="K683" s="1">
        <v>5.8415093955858106</v>
      </c>
      <c r="L683" t="s">
        <v>55</v>
      </c>
    </row>
    <row r="684" spans="1:12" x14ac:dyDescent="0.3">
      <c r="A684" t="s">
        <v>18</v>
      </c>
      <c r="B684" s="7">
        <v>45931</v>
      </c>
      <c r="C684" t="s">
        <v>22</v>
      </c>
      <c r="D684" t="s">
        <v>26</v>
      </c>
      <c r="E684" t="s">
        <v>34</v>
      </c>
      <c r="F684" t="s">
        <v>43</v>
      </c>
      <c r="G684" t="s">
        <v>49</v>
      </c>
      <c r="H684">
        <v>4164.54</v>
      </c>
      <c r="I684">
        <v>3720.67</v>
      </c>
      <c r="J684">
        <v>-443.86999999999989</v>
      </c>
      <c r="K684" s="1">
        <v>-10.658320006531332</v>
      </c>
      <c r="L684" t="s">
        <v>55</v>
      </c>
    </row>
    <row r="685" spans="1:12" x14ac:dyDescent="0.3">
      <c r="A685" t="s">
        <v>18</v>
      </c>
      <c r="B685" s="7">
        <v>45931</v>
      </c>
      <c r="C685" t="s">
        <v>22</v>
      </c>
      <c r="D685" t="s">
        <v>26</v>
      </c>
      <c r="E685" t="s">
        <v>34</v>
      </c>
      <c r="F685" t="s">
        <v>43</v>
      </c>
      <c r="G685" t="s">
        <v>51</v>
      </c>
      <c r="H685">
        <v>7076.97</v>
      </c>
      <c r="I685">
        <v>8138.38</v>
      </c>
      <c r="J685">
        <v>1061.4099999999999</v>
      </c>
      <c r="K685" s="1">
        <v>14.998085338781991</v>
      </c>
      <c r="L685" t="s">
        <v>55</v>
      </c>
    </row>
    <row r="686" spans="1:12" x14ac:dyDescent="0.3">
      <c r="A686" t="s">
        <v>18</v>
      </c>
      <c r="B686" s="7">
        <v>45931</v>
      </c>
      <c r="C686" t="s">
        <v>23</v>
      </c>
      <c r="D686" t="s">
        <v>27</v>
      </c>
      <c r="E686" t="s">
        <v>35</v>
      </c>
      <c r="F686" t="s">
        <v>41</v>
      </c>
      <c r="G686" t="s">
        <v>45</v>
      </c>
      <c r="H686">
        <v>5575.76</v>
      </c>
      <c r="I686">
        <v>5176.4799999999996</v>
      </c>
      <c r="J686">
        <v>-399.28000000000065</v>
      </c>
      <c r="K686" s="1">
        <v>-7.1609968865231046</v>
      </c>
      <c r="L686" t="s">
        <v>55</v>
      </c>
    </row>
    <row r="687" spans="1:12" x14ac:dyDescent="0.3">
      <c r="A687" t="s">
        <v>18</v>
      </c>
      <c r="B687" s="7">
        <v>45931</v>
      </c>
      <c r="C687" t="s">
        <v>23</v>
      </c>
      <c r="D687" t="s">
        <v>27</v>
      </c>
      <c r="E687" t="s">
        <v>35</v>
      </c>
      <c r="F687" t="s">
        <v>41</v>
      </c>
      <c r="G687" t="s">
        <v>46</v>
      </c>
      <c r="H687">
        <v>11995.53</v>
      </c>
      <c r="I687">
        <v>10912.61</v>
      </c>
      <c r="J687">
        <v>-1082.92</v>
      </c>
      <c r="K687" s="1">
        <v>-9.0276961501492643</v>
      </c>
      <c r="L687" t="s">
        <v>55</v>
      </c>
    </row>
    <row r="688" spans="1:12" x14ac:dyDescent="0.3">
      <c r="A688" t="s">
        <v>18</v>
      </c>
      <c r="B688" s="7">
        <v>45931</v>
      </c>
      <c r="C688" t="s">
        <v>23</v>
      </c>
      <c r="D688" t="s">
        <v>27</v>
      </c>
      <c r="E688" t="s">
        <v>35</v>
      </c>
      <c r="F688" t="s">
        <v>41</v>
      </c>
      <c r="G688" t="s">
        <v>47</v>
      </c>
      <c r="H688">
        <v>22727.360000000001</v>
      </c>
      <c r="I688">
        <v>23010.35</v>
      </c>
      <c r="J688">
        <v>282.98999999999796</v>
      </c>
      <c r="K688" s="1">
        <v>1.2451512186193114</v>
      </c>
      <c r="L688" t="s">
        <v>55</v>
      </c>
    </row>
    <row r="689" spans="1:12" x14ac:dyDescent="0.3">
      <c r="A689" t="s">
        <v>18</v>
      </c>
      <c r="B689" s="7">
        <v>45931</v>
      </c>
      <c r="C689" t="s">
        <v>23</v>
      </c>
      <c r="D689" t="s">
        <v>27</v>
      </c>
      <c r="E689" t="s">
        <v>35</v>
      </c>
      <c r="F689" t="s">
        <v>41</v>
      </c>
      <c r="G689" t="s">
        <v>48</v>
      </c>
      <c r="H689">
        <v>6288.37</v>
      </c>
      <c r="I689">
        <v>7152.06</v>
      </c>
      <c r="J689">
        <v>863.69000000000051</v>
      </c>
      <c r="K689" s="1">
        <v>13.734719808153791</v>
      </c>
      <c r="L689" t="s">
        <v>55</v>
      </c>
    </row>
    <row r="690" spans="1:12" x14ac:dyDescent="0.3">
      <c r="A690" t="s">
        <v>18</v>
      </c>
      <c r="B690" s="7">
        <v>45931</v>
      </c>
      <c r="C690" t="s">
        <v>23</v>
      </c>
      <c r="D690" t="s">
        <v>27</v>
      </c>
      <c r="E690" t="s">
        <v>35</v>
      </c>
      <c r="F690" t="s">
        <v>41</v>
      </c>
      <c r="G690" t="s">
        <v>49</v>
      </c>
      <c r="H690">
        <v>3560.14</v>
      </c>
      <c r="I690">
        <v>3630.95</v>
      </c>
      <c r="J690">
        <v>70.809999999999945</v>
      </c>
      <c r="K690" s="1">
        <v>1.9889667260276265</v>
      </c>
      <c r="L690" t="s">
        <v>55</v>
      </c>
    </row>
    <row r="691" spans="1:12" x14ac:dyDescent="0.3">
      <c r="A691" t="s">
        <v>18</v>
      </c>
      <c r="B691" s="7">
        <v>45931</v>
      </c>
      <c r="C691" t="s">
        <v>23</v>
      </c>
      <c r="D691" t="s">
        <v>27</v>
      </c>
      <c r="E691" t="s">
        <v>35</v>
      </c>
      <c r="F691" t="s">
        <v>41</v>
      </c>
      <c r="G691" t="s">
        <v>51</v>
      </c>
      <c r="H691">
        <v>5793.24</v>
      </c>
      <c r="I691">
        <v>6057.84</v>
      </c>
      <c r="J691">
        <v>264.60000000000036</v>
      </c>
      <c r="K691" s="1">
        <v>4.5673923400377054</v>
      </c>
      <c r="L691" t="s">
        <v>55</v>
      </c>
    </row>
    <row r="692" spans="1:12" x14ac:dyDescent="0.3">
      <c r="A692" t="s">
        <v>18</v>
      </c>
      <c r="B692" s="7">
        <v>45931</v>
      </c>
      <c r="C692" t="s">
        <v>23</v>
      </c>
      <c r="D692" t="s">
        <v>27</v>
      </c>
      <c r="E692" t="s">
        <v>36</v>
      </c>
      <c r="F692" t="s">
        <v>44</v>
      </c>
      <c r="G692" t="s">
        <v>45</v>
      </c>
      <c r="H692">
        <v>5512.74</v>
      </c>
      <c r="I692">
        <v>5397.29</v>
      </c>
      <c r="J692">
        <v>-115.44999999999982</v>
      </c>
      <c r="K692" s="1">
        <v>-2.0942398879685933</v>
      </c>
      <c r="L692" t="s">
        <v>55</v>
      </c>
    </row>
    <row r="693" spans="1:12" x14ac:dyDescent="0.3">
      <c r="A693" t="s">
        <v>18</v>
      </c>
      <c r="B693" s="7">
        <v>45931</v>
      </c>
      <c r="C693" t="s">
        <v>23</v>
      </c>
      <c r="D693" t="s">
        <v>27</v>
      </c>
      <c r="E693" t="s">
        <v>36</v>
      </c>
      <c r="F693" t="s">
        <v>44</v>
      </c>
      <c r="G693" t="s">
        <v>46</v>
      </c>
      <c r="H693">
        <v>11984.83</v>
      </c>
      <c r="I693">
        <v>11208.02</v>
      </c>
      <c r="J693">
        <v>-776.80999999999949</v>
      </c>
      <c r="K693" s="1">
        <v>-6.4816105026103781</v>
      </c>
      <c r="L693" t="s">
        <v>55</v>
      </c>
    </row>
    <row r="694" spans="1:12" x14ac:dyDescent="0.3">
      <c r="A694" t="s">
        <v>18</v>
      </c>
      <c r="B694" s="7">
        <v>45931</v>
      </c>
      <c r="C694" t="s">
        <v>23</v>
      </c>
      <c r="D694" t="s">
        <v>27</v>
      </c>
      <c r="E694" t="s">
        <v>36</v>
      </c>
      <c r="F694" t="s">
        <v>44</v>
      </c>
      <c r="G694" t="s">
        <v>47</v>
      </c>
      <c r="H694">
        <v>20592.759999999998</v>
      </c>
      <c r="I694">
        <v>19713.71</v>
      </c>
      <c r="J694">
        <v>-879.04999999999927</v>
      </c>
      <c r="K694" s="1">
        <v>-4.2687332829596389</v>
      </c>
      <c r="L694" t="s">
        <v>55</v>
      </c>
    </row>
    <row r="695" spans="1:12" x14ac:dyDescent="0.3">
      <c r="A695" t="s">
        <v>18</v>
      </c>
      <c r="B695" s="7">
        <v>45931</v>
      </c>
      <c r="C695" t="s">
        <v>23</v>
      </c>
      <c r="D695" t="s">
        <v>27</v>
      </c>
      <c r="E695" t="s">
        <v>36</v>
      </c>
      <c r="F695" t="s">
        <v>44</v>
      </c>
      <c r="G695" t="s">
        <v>48</v>
      </c>
      <c r="H695">
        <v>8498.59</v>
      </c>
      <c r="I695">
        <v>7590.84</v>
      </c>
      <c r="J695">
        <v>-907.75</v>
      </c>
      <c r="K695" s="1">
        <v>-10.681183584571087</v>
      </c>
      <c r="L695" t="s">
        <v>55</v>
      </c>
    </row>
    <row r="696" spans="1:12" x14ac:dyDescent="0.3">
      <c r="A696" t="s">
        <v>18</v>
      </c>
      <c r="B696" s="7">
        <v>45931</v>
      </c>
      <c r="C696" t="s">
        <v>23</v>
      </c>
      <c r="D696" t="s">
        <v>27</v>
      </c>
      <c r="E696" t="s">
        <v>36</v>
      </c>
      <c r="F696" t="s">
        <v>44</v>
      </c>
      <c r="G696" t="s">
        <v>49</v>
      </c>
      <c r="H696">
        <v>4661.62</v>
      </c>
      <c r="I696">
        <v>4660.46</v>
      </c>
      <c r="J696">
        <v>-1.1599999999998545</v>
      </c>
      <c r="K696" s="1">
        <v>-2.4884053183225029E-2</v>
      </c>
      <c r="L696" t="s">
        <v>55</v>
      </c>
    </row>
    <row r="697" spans="1:12" x14ac:dyDescent="0.3">
      <c r="A697" t="s">
        <v>18</v>
      </c>
      <c r="B697" s="7">
        <v>45931</v>
      </c>
      <c r="C697" t="s">
        <v>23</v>
      </c>
      <c r="D697" t="s">
        <v>27</v>
      </c>
      <c r="E697" t="s">
        <v>36</v>
      </c>
      <c r="F697" t="s">
        <v>44</v>
      </c>
      <c r="G697" t="s">
        <v>51</v>
      </c>
      <c r="H697">
        <v>5349.78</v>
      </c>
      <c r="I697">
        <v>4677.07</v>
      </c>
      <c r="J697">
        <v>-672.71</v>
      </c>
      <c r="K697" s="1">
        <v>-12.574535775302911</v>
      </c>
      <c r="L697" t="s">
        <v>55</v>
      </c>
    </row>
    <row r="698" spans="1:12" x14ac:dyDescent="0.3">
      <c r="A698" t="s">
        <v>18</v>
      </c>
      <c r="B698" s="7">
        <v>45931</v>
      </c>
      <c r="C698" t="s">
        <v>23</v>
      </c>
      <c r="D698" t="s">
        <v>27</v>
      </c>
      <c r="E698" t="s">
        <v>37</v>
      </c>
      <c r="F698" t="s">
        <v>43</v>
      </c>
      <c r="G698" t="s">
        <v>45</v>
      </c>
      <c r="H698">
        <v>5537.06</v>
      </c>
      <c r="I698">
        <v>5656.24</v>
      </c>
      <c r="J698">
        <v>119.17999999999938</v>
      </c>
      <c r="K698" s="1">
        <v>2.1524057893539057</v>
      </c>
      <c r="L698" t="s">
        <v>55</v>
      </c>
    </row>
    <row r="699" spans="1:12" x14ac:dyDescent="0.3">
      <c r="A699" t="s">
        <v>18</v>
      </c>
      <c r="B699" s="7">
        <v>45931</v>
      </c>
      <c r="C699" t="s">
        <v>23</v>
      </c>
      <c r="D699" t="s">
        <v>27</v>
      </c>
      <c r="E699" t="s">
        <v>37</v>
      </c>
      <c r="F699" t="s">
        <v>43</v>
      </c>
      <c r="G699" t="s">
        <v>46</v>
      </c>
      <c r="H699">
        <v>8569.82</v>
      </c>
      <c r="I699">
        <v>9628.4599999999991</v>
      </c>
      <c r="J699">
        <v>1058.6399999999994</v>
      </c>
      <c r="K699" s="1">
        <v>12.353118268528387</v>
      </c>
      <c r="L699" t="s">
        <v>55</v>
      </c>
    </row>
    <row r="700" spans="1:12" x14ac:dyDescent="0.3">
      <c r="A700" t="s">
        <v>18</v>
      </c>
      <c r="B700" s="7">
        <v>45931</v>
      </c>
      <c r="C700" t="s">
        <v>23</v>
      </c>
      <c r="D700" t="s">
        <v>27</v>
      </c>
      <c r="E700" t="s">
        <v>37</v>
      </c>
      <c r="F700" t="s">
        <v>43</v>
      </c>
      <c r="G700" t="s">
        <v>47</v>
      </c>
      <c r="H700">
        <v>18153.59</v>
      </c>
      <c r="I700">
        <v>16920.52</v>
      </c>
      <c r="J700">
        <v>-1233.0699999999997</v>
      </c>
      <c r="K700" s="1">
        <v>-6.7924305881095677</v>
      </c>
      <c r="L700" t="s">
        <v>55</v>
      </c>
    </row>
    <row r="701" spans="1:12" x14ac:dyDescent="0.3">
      <c r="A701" t="s">
        <v>18</v>
      </c>
      <c r="B701" s="7">
        <v>45931</v>
      </c>
      <c r="C701" t="s">
        <v>23</v>
      </c>
      <c r="D701" t="s">
        <v>27</v>
      </c>
      <c r="E701" t="s">
        <v>37</v>
      </c>
      <c r="F701" t="s">
        <v>43</v>
      </c>
      <c r="G701" t="s">
        <v>48</v>
      </c>
      <c r="H701">
        <v>7842.01</v>
      </c>
      <c r="I701">
        <v>8494.75</v>
      </c>
      <c r="J701">
        <v>652.73999999999978</v>
      </c>
      <c r="K701" s="1">
        <v>8.3236313139105889</v>
      </c>
      <c r="L701" t="s">
        <v>55</v>
      </c>
    </row>
    <row r="702" spans="1:12" x14ac:dyDescent="0.3">
      <c r="A702" t="s">
        <v>18</v>
      </c>
      <c r="B702" s="7">
        <v>45931</v>
      </c>
      <c r="C702" t="s">
        <v>23</v>
      </c>
      <c r="D702" t="s">
        <v>27</v>
      </c>
      <c r="E702" t="s">
        <v>37</v>
      </c>
      <c r="F702" t="s">
        <v>43</v>
      </c>
      <c r="G702" t="s">
        <v>49</v>
      </c>
      <c r="H702">
        <v>2975.79</v>
      </c>
      <c r="I702">
        <v>2694.02</v>
      </c>
      <c r="J702">
        <v>-281.77</v>
      </c>
      <c r="K702" s="1">
        <v>-9.4687461144771632</v>
      </c>
      <c r="L702" t="s">
        <v>55</v>
      </c>
    </row>
    <row r="703" spans="1:12" x14ac:dyDescent="0.3">
      <c r="A703" t="s">
        <v>18</v>
      </c>
      <c r="B703" s="7">
        <v>45931</v>
      </c>
      <c r="C703" t="s">
        <v>23</v>
      </c>
      <c r="D703" t="s">
        <v>27</v>
      </c>
      <c r="E703" t="s">
        <v>37</v>
      </c>
      <c r="F703" t="s">
        <v>43</v>
      </c>
      <c r="G703" t="s">
        <v>51</v>
      </c>
      <c r="H703">
        <v>4632.0200000000004</v>
      </c>
      <c r="I703">
        <v>5062.8500000000004</v>
      </c>
      <c r="J703">
        <v>430.82999999999993</v>
      </c>
      <c r="K703" s="1">
        <v>9.3011256428081026</v>
      </c>
      <c r="L703" t="s">
        <v>55</v>
      </c>
    </row>
    <row r="704" spans="1:12" x14ac:dyDescent="0.3">
      <c r="A704" t="s">
        <v>18</v>
      </c>
      <c r="B704" s="7">
        <v>45931</v>
      </c>
      <c r="C704" t="s">
        <v>24</v>
      </c>
      <c r="D704" t="s">
        <v>28</v>
      </c>
      <c r="E704" t="s">
        <v>38</v>
      </c>
      <c r="F704" t="s">
        <v>41</v>
      </c>
      <c r="G704" t="s">
        <v>45</v>
      </c>
      <c r="H704">
        <v>7463.84</v>
      </c>
      <c r="I704">
        <v>7513.31</v>
      </c>
      <c r="J704">
        <v>49.470000000000255</v>
      </c>
      <c r="K704" s="1">
        <v>0.66279555831850967</v>
      </c>
      <c r="L704" t="s">
        <v>55</v>
      </c>
    </row>
    <row r="705" spans="1:12" x14ac:dyDescent="0.3">
      <c r="A705" t="s">
        <v>18</v>
      </c>
      <c r="B705" s="7">
        <v>45931</v>
      </c>
      <c r="C705" t="s">
        <v>24</v>
      </c>
      <c r="D705" t="s">
        <v>28</v>
      </c>
      <c r="E705" t="s">
        <v>38</v>
      </c>
      <c r="F705" t="s">
        <v>41</v>
      </c>
      <c r="G705" t="s">
        <v>46</v>
      </c>
      <c r="H705">
        <v>11308.52</v>
      </c>
      <c r="I705">
        <v>12618.85</v>
      </c>
      <c r="J705">
        <v>1310.33</v>
      </c>
      <c r="K705" s="1">
        <v>11.587104236451808</v>
      </c>
      <c r="L705" t="s">
        <v>55</v>
      </c>
    </row>
    <row r="706" spans="1:12" x14ac:dyDescent="0.3">
      <c r="A706" t="s">
        <v>18</v>
      </c>
      <c r="B706" s="7">
        <v>45931</v>
      </c>
      <c r="C706" t="s">
        <v>24</v>
      </c>
      <c r="D706" t="s">
        <v>28</v>
      </c>
      <c r="E706" t="s">
        <v>38</v>
      </c>
      <c r="F706" t="s">
        <v>41</v>
      </c>
      <c r="G706" t="s">
        <v>47</v>
      </c>
      <c r="H706">
        <v>19821.830000000002</v>
      </c>
      <c r="I706">
        <v>22528.09</v>
      </c>
      <c r="J706">
        <v>2706.2599999999984</v>
      </c>
      <c r="K706" s="1">
        <v>13.652927101079962</v>
      </c>
      <c r="L706" t="s">
        <v>55</v>
      </c>
    </row>
    <row r="707" spans="1:12" x14ac:dyDescent="0.3">
      <c r="A707" t="s">
        <v>18</v>
      </c>
      <c r="B707" s="7">
        <v>45931</v>
      </c>
      <c r="C707" t="s">
        <v>24</v>
      </c>
      <c r="D707" t="s">
        <v>28</v>
      </c>
      <c r="E707" t="s">
        <v>38</v>
      </c>
      <c r="F707" t="s">
        <v>41</v>
      </c>
      <c r="G707" t="s">
        <v>48</v>
      </c>
      <c r="H707">
        <v>6114.53</v>
      </c>
      <c r="I707">
        <v>5423.18</v>
      </c>
      <c r="J707">
        <v>-691.34999999999945</v>
      </c>
      <c r="K707" s="1">
        <v>-11.306674429596379</v>
      </c>
      <c r="L707" t="s">
        <v>55</v>
      </c>
    </row>
    <row r="708" spans="1:12" x14ac:dyDescent="0.3">
      <c r="A708" t="s">
        <v>18</v>
      </c>
      <c r="B708" s="7">
        <v>45931</v>
      </c>
      <c r="C708" t="s">
        <v>24</v>
      </c>
      <c r="D708" t="s">
        <v>28</v>
      </c>
      <c r="E708" t="s">
        <v>38</v>
      </c>
      <c r="F708" t="s">
        <v>41</v>
      </c>
      <c r="G708" t="s">
        <v>49</v>
      </c>
      <c r="H708">
        <v>3191.47</v>
      </c>
      <c r="I708">
        <v>2772.88</v>
      </c>
      <c r="J708">
        <v>-418.58999999999969</v>
      </c>
      <c r="K708" s="1">
        <v>-13.115899569790715</v>
      </c>
      <c r="L708" t="s">
        <v>55</v>
      </c>
    </row>
    <row r="709" spans="1:12" x14ac:dyDescent="0.3">
      <c r="A709" t="s">
        <v>18</v>
      </c>
      <c r="B709" s="7">
        <v>45931</v>
      </c>
      <c r="C709" t="s">
        <v>24</v>
      </c>
      <c r="D709" t="s">
        <v>28</v>
      </c>
      <c r="E709" t="s">
        <v>38</v>
      </c>
      <c r="F709" t="s">
        <v>41</v>
      </c>
      <c r="G709" t="s">
        <v>51</v>
      </c>
      <c r="H709">
        <v>6412.21</v>
      </c>
      <c r="I709">
        <v>7432.26</v>
      </c>
      <c r="J709">
        <v>1020.0500000000002</v>
      </c>
      <c r="K709" s="1">
        <v>15.907931898674562</v>
      </c>
      <c r="L709" t="s">
        <v>55</v>
      </c>
    </row>
    <row r="710" spans="1:12" x14ac:dyDescent="0.3">
      <c r="A710" t="s">
        <v>18</v>
      </c>
      <c r="B710" s="7">
        <v>45931</v>
      </c>
      <c r="C710" t="s">
        <v>24</v>
      </c>
      <c r="D710" t="s">
        <v>28</v>
      </c>
      <c r="E710" t="s">
        <v>39</v>
      </c>
      <c r="F710" t="s">
        <v>44</v>
      </c>
      <c r="G710" t="s">
        <v>45</v>
      </c>
      <c r="H710">
        <v>5028.4399999999996</v>
      </c>
      <c r="I710">
        <v>4476.8</v>
      </c>
      <c r="J710">
        <v>-551.63999999999942</v>
      </c>
      <c r="K710" s="1">
        <v>-10.970400362736743</v>
      </c>
      <c r="L710" t="s">
        <v>55</v>
      </c>
    </row>
    <row r="711" spans="1:12" x14ac:dyDescent="0.3">
      <c r="A711" t="s">
        <v>18</v>
      </c>
      <c r="B711" s="7">
        <v>45931</v>
      </c>
      <c r="C711" t="s">
        <v>24</v>
      </c>
      <c r="D711" t="s">
        <v>28</v>
      </c>
      <c r="E711" t="s">
        <v>39</v>
      </c>
      <c r="F711" t="s">
        <v>44</v>
      </c>
      <c r="G711" t="s">
        <v>46</v>
      </c>
      <c r="H711">
        <v>9191.8700000000008</v>
      </c>
      <c r="I711">
        <v>10645.83</v>
      </c>
      <c r="J711">
        <v>1453.9599999999991</v>
      </c>
      <c r="K711" s="1">
        <v>15.81789124519819</v>
      </c>
      <c r="L711" t="s">
        <v>55</v>
      </c>
    </row>
    <row r="712" spans="1:12" x14ac:dyDescent="0.3">
      <c r="A712" t="s">
        <v>18</v>
      </c>
      <c r="B712" s="7">
        <v>45931</v>
      </c>
      <c r="C712" t="s">
        <v>24</v>
      </c>
      <c r="D712" t="s">
        <v>28</v>
      </c>
      <c r="E712" t="s">
        <v>39</v>
      </c>
      <c r="F712" t="s">
        <v>44</v>
      </c>
      <c r="G712" t="s">
        <v>47</v>
      </c>
      <c r="H712">
        <v>16914.490000000002</v>
      </c>
      <c r="I712">
        <v>17208.59</v>
      </c>
      <c r="J712">
        <v>294.09999999999854</v>
      </c>
      <c r="K712" s="1">
        <v>1.7387458918359258</v>
      </c>
      <c r="L712" t="s">
        <v>55</v>
      </c>
    </row>
    <row r="713" spans="1:12" x14ac:dyDescent="0.3">
      <c r="A713" t="s">
        <v>18</v>
      </c>
      <c r="B713" s="7">
        <v>45931</v>
      </c>
      <c r="C713" t="s">
        <v>24</v>
      </c>
      <c r="D713" t="s">
        <v>28</v>
      </c>
      <c r="E713" t="s">
        <v>39</v>
      </c>
      <c r="F713" t="s">
        <v>44</v>
      </c>
      <c r="G713" t="s">
        <v>48</v>
      </c>
      <c r="H713">
        <v>5424.61</v>
      </c>
      <c r="I713">
        <v>4876.47</v>
      </c>
      <c r="J713">
        <v>-548.13999999999942</v>
      </c>
      <c r="K713" s="1">
        <v>-10.104689553719059</v>
      </c>
      <c r="L713" t="s">
        <v>55</v>
      </c>
    </row>
    <row r="714" spans="1:12" x14ac:dyDescent="0.3">
      <c r="A714" t="s">
        <v>18</v>
      </c>
      <c r="B714" s="7">
        <v>45931</v>
      </c>
      <c r="C714" t="s">
        <v>24</v>
      </c>
      <c r="D714" t="s">
        <v>28</v>
      </c>
      <c r="E714" t="s">
        <v>39</v>
      </c>
      <c r="F714" t="s">
        <v>44</v>
      </c>
      <c r="G714" t="s">
        <v>49</v>
      </c>
      <c r="H714">
        <v>4696.92</v>
      </c>
      <c r="I714">
        <v>5488.3</v>
      </c>
      <c r="J714">
        <v>791.38000000000011</v>
      </c>
      <c r="K714" s="1">
        <v>16.848913756248781</v>
      </c>
      <c r="L714" t="s">
        <v>55</v>
      </c>
    </row>
    <row r="715" spans="1:12" x14ac:dyDescent="0.3">
      <c r="A715" t="s">
        <v>18</v>
      </c>
      <c r="B715" s="7">
        <v>45931</v>
      </c>
      <c r="C715" t="s">
        <v>24</v>
      </c>
      <c r="D715" t="s">
        <v>28</v>
      </c>
      <c r="E715" t="s">
        <v>39</v>
      </c>
      <c r="F715" t="s">
        <v>44</v>
      </c>
      <c r="G715" t="s">
        <v>51</v>
      </c>
      <c r="H715">
        <v>150000</v>
      </c>
      <c r="I715">
        <v>165500</v>
      </c>
      <c r="J715">
        <v>15500</v>
      </c>
      <c r="K715" s="1">
        <v>10.3333333333333</v>
      </c>
      <c r="L715" t="s">
        <v>54</v>
      </c>
    </row>
    <row r="716" spans="1:12" x14ac:dyDescent="0.3">
      <c r="A716" t="s">
        <v>18</v>
      </c>
      <c r="B716" s="7">
        <v>45931</v>
      </c>
      <c r="C716" t="s">
        <v>24</v>
      </c>
      <c r="D716" t="s">
        <v>28</v>
      </c>
      <c r="E716" t="s">
        <v>40</v>
      </c>
      <c r="F716" t="s">
        <v>43</v>
      </c>
      <c r="G716" t="s">
        <v>45</v>
      </c>
      <c r="H716">
        <v>7367.57</v>
      </c>
      <c r="I716">
        <v>8372.6</v>
      </c>
      <c r="J716">
        <v>1005.0300000000007</v>
      </c>
      <c r="K716" s="1">
        <v>13.641268423645798</v>
      </c>
      <c r="L716" t="s">
        <v>55</v>
      </c>
    </row>
    <row r="717" spans="1:12" x14ac:dyDescent="0.3">
      <c r="A717" t="s">
        <v>18</v>
      </c>
      <c r="B717" s="7">
        <v>45931</v>
      </c>
      <c r="C717" t="s">
        <v>24</v>
      </c>
      <c r="D717" t="s">
        <v>28</v>
      </c>
      <c r="E717" t="s">
        <v>40</v>
      </c>
      <c r="F717" t="s">
        <v>43</v>
      </c>
      <c r="G717" t="s">
        <v>46</v>
      </c>
      <c r="H717">
        <v>9205.6</v>
      </c>
      <c r="I717">
        <v>9391.06</v>
      </c>
      <c r="J717">
        <v>185.45999999999913</v>
      </c>
      <c r="K717" s="1">
        <v>2.0146432606239584</v>
      </c>
      <c r="L717" t="s">
        <v>55</v>
      </c>
    </row>
    <row r="718" spans="1:12" x14ac:dyDescent="0.3">
      <c r="A718" t="s">
        <v>18</v>
      </c>
      <c r="B718" s="7">
        <v>45931</v>
      </c>
      <c r="C718" t="s">
        <v>24</v>
      </c>
      <c r="D718" t="s">
        <v>28</v>
      </c>
      <c r="E718" t="s">
        <v>40</v>
      </c>
      <c r="F718" t="s">
        <v>43</v>
      </c>
      <c r="G718" t="s">
        <v>47</v>
      </c>
      <c r="H718">
        <v>18779.54</v>
      </c>
      <c r="I718">
        <v>20095.34</v>
      </c>
      <c r="J718">
        <v>1315.7999999999993</v>
      </c>
      <c r="K718" s="1">
        <v>7.0065613960725308</v>
      </c>
      <c r="L718" t="s">
        <v>55</v>
      </c>
    </row>
    <row r="719" spans="1:12" x14ac:dyDescent="0.3">
      <c r="A719" t="s">
        <v>18</v>
      </c>
      <c r="B719" s="7">
        <v>45931</v>
      </c>
      <c r="C719" t="s">
        <v>24</v>
      </c>
      <c r="D719" t="s">
        <v>28</v>
      </c>
      <c r="E719" t="s">
        <v>40</v>
      </c>
      <c r="F719" t="s">
        <v>43</v>
      </c>
      <c r="G719" t="s">
        <v>48</v>
      </c>
      <c r="H719">
        <v>5836.54</v>
      </c>
      <c r="I719">
        <v>5018.79</v>
      </c>
      <c r="J719">
        <v>-817.75</v>
      </c>
      <c r="K719" s="1">
        <v>-14.010869453477573</v>
      </c>
      <c r="L719" t="s">
        <v>55</v>
      </c>
    </row>
    <row r="720" spans="1:12" x14ac:dyDescent="0.3">
      <c r="A720" t="s">
        <v>18</v>
      </c>
      <c r="B720" s="7">
        <v>45931</v>
      </c>
      <c r="C720" t="s">
        <v>24</v>
      </c>
      <c r="D720" t="s">
        <v>28</v>
      </c>
      <c r="E720" t="s">
        <v>40</v>
      </c>
      <c r="F720" t="s">
        <v>43</v>
      </c>
      <c r="G720" t="s">
        <v>49</v>
      </c>
      <c r="H720">
        <v>3271.65</v>
      </c>
      <c r="I720">
        <v>3541.71</v>
      </c>
      <c r="J720">
        <v>270.05999999999995</v>
      </c>
      <c r="K720" s="1">
        <v>8.2545504561918275</v>
      </c>
      <c r="L720" t="s">
        <v>55</v>
      </c>
    </row>
    <row r="721" spans="1:12" x14ac:dyDescent="0.3">
      <c r="A721" t="s">
        <v>18</v>
      </c>
      <c r="B721" s="7">
        <v>45931</v>
      </c>
      <c r="C721" t="s">
        <v>24</v>
      </c>
      <c r="D721" t="s">
        <v>28</v>
      </c>
      <c r="E721" t="s">
        <v>40</v>
      </c>
      <c r="F721" t="s">
        <v>43</v>
      </c>
      <c r="G721" t="s">
        <v>51</v>
      </c>
      <c r="H721">
        <v>5226.67</v>
      </c>
      <c r="I721">
        <v>5604.21</v>
      </c>
      <c r="J721">
        <v>377.53999999999996</v>
      </c>
      <c r="K721" s="1">
        <v>7.2233372300145202</v>
      </c>
      <c r="L721" t="s">
        <v>55</v>
      </c>
    </row>
    <row r="722" spans="1:12" x14ac:dyDescent="0.3">
      <c r="A722" t="s">
        <v>19</v>
      </c>
      <c r="B722" s="7">
        <v>45962</v>
      </c>
      <c r="C722" t="s">
        <v>21</v>
      </c>
      <c r="D722" t="s">
        <v>25</v>
      </c>
      <c r="E722" t="s">
        <v>29</v>
      </c>
      <c r="F722" t="s">
        <v>41</v>
      </c>
      <c r="G722" t="s">
        <v>45</v>
      </c>
      <c r="H722">
        <v>8657.66</v>
      </c>
      <c r="I722">
        <v>7627.29</v>
      </c>
      <c r="J722">
        <v>-1030.3699999999999</v>
      </c>
      <c r="K722" s="1">
        <v>-11.901252763448783</v>
      </c>
      <c r="L722" t="s">
        <v>55</v>
      </c>
    </row>
    <row r="723" spans="1:12" x14ac:dyDescent="0.3">
      <c r="A723" t="s">
        <v>19</v>
      </c>
      <c r="B723" s="7">
        <v>45962</v>
      </c>
      <c r="C723" t="s">
        <v>21</v>
      </c>
      <c r="D723" t="s">
        <v>25</v>
      </c>
      <c r="E723" t="s">
        <v>29</v>
      </c>
      <c r="F723" t="s">
        <v>41</v>
      </c>
      <c r="G723" t="s">
        <v>46</v>
      </c>
      <c r="H723">
        <v>10382.049999999999</v>
      </c>
      <c r="I723">
        <v>10345.07</v>
      </c>
      <c r="J723">
        <v>-36.979999999999563</v>
      </c>
      <c r="K723" s="1">
        <v>-0.35619169624495706</v>
      </c>
      <c r="L723" t="s">
        <v>55</v>
      </c>
    </row>
    <row r="724" spans="1:12" x14ac:dyDescent="0.3">
      <c r="A724" t="s">
        <v>19</v>
      </c>
      <c r="B724" s="7">
        <v>45962</v>
      </c>
      <c r="C724" t="s">
        <v>21</v>
      </c>
      <c r="D724" t="s">
        <v>25</v>
      </c>
      <c r="E724" t="s">
        <v>29</v>
      </c>
      <c r="F724" t="s">
        <v>41</v>
      </c>
      <c r="G724" t="s">
        <v>47</v>
      </c>
      <c r="H724">
        <v>22875.94</v>
      </c>
      <c r="I724">
        <v>20781.86</v>
      </c>
      <c r="J724">
        <v>-2094.0799999999981</v>
      </c>
      <c r="K724" s="1">
        <v>-9.1540719201046965</v>
      </c>
      <c r="L724" t="s">
        <v>55</v>
      </c>
    </row>
    <row r="725" spans="1:12" x14ac:dyDescent="0.3">
      <c r="A725" t="s">
        <v>19</v>
      </c>
      <c r="B725" s="7">
        <v>45962</v>
      </c>
      <c r="C725" t="s">
        <v>21</v>
      </c>
      <c r="D725" t="s">
        <v>25</v>
      </c>
      <c r="E725" t="s">
        <v>29</v>
      </c>
      <c r="F725" t="s">
        <v>41</v>
      </c>
      <c r="G725" t="s">
        <v>48</v>
      </c>
      <c r="H725">
        <v>8159.03</v>
      </c>
      <c r="I725">
        <v>9191.7800000000007</v>
      </c>
      <c r="J725">
        <v>1032.7500000000009</v>
      </c>
      <c r="K725" s="1">
        <v>12.657754659561258</v>
      </c>
      <c r="L725" t="s">
        <v>55</v>
      </c>
    </row>
    <row r="726" spans="1:12" x14ac:dyDescent="0.3">
      <c r="A726" t="s">
        <v>19</v>
      </c>
      <c r="B726" s="7">
        <v>45962</v>
      </c>
      <c r="C726" t="s">
        <v>21</v>
      </c>
      <c r="D726" t="s">
        <v>25</v>
      </c>
      <c r="E726" t="s">
        <v>29</v>
      </c>
      <c r="F726" t="s">
        <v>41</v>
      </c>
      <c r="G726" t="s">
        <v>49</v>
      </c>
      <c r="H726">
        <v>4608.6899999999996</v>
      </c>
      <c r="I726">
        <v>4956.5200000000004</v>
      </c>
      <c r="J726">
        <v>347.83000000000084</v>
      </c>
      <c r="K726" s="1">
        <v>7.5472639730596081</v>
      </c>
      <c r="L726" t="s">
        <v>55</v>
      </c>
    </row>
    <row r="727" spans="1:12" x14ac:dyDescent="0.3">
      <c r="A727" t="s">
        <v>19</v>
      </c>
      <c r="B727" s="7">
        <v>45962</v>
      </c>
      <c r="C727" t="s">
        <v>21</v>
      </c>
      <c r="D727" t="s">
        <v>25</v>
      </c>
      <c r="E727" t="s">
        <v>29</v>
      </c>
      <c r="F727" t="s">
        <v>41</v>
      </c>
      <c r="G727" t="s">
        <v>51</v>
      </c>
      <c r="H727">
        <v>6289.83</v>
      </c>
      <c r="I727">
        <v>6628.79</v>
      </c>
      <c r="J727">
        <v>338.96000000000004</v>
      </c>
      <c r="K727" s="1">
        <v>5.3890168732700259</v>
      </c>
      <c r="L727" t="s">
        <v>55</v>
      </c>
    </row>
    <row r="728" spans="1:12" x14ac:dyDescent="0.3">
      <c r="A728" t="s">
        <v>19</v>
      </c>
      <c r="B728" s="7">
        <v>45962</v>
      </c>
      <c r="C728" t="s">
        <v>21</v>
      </c>
      <c r="D728" t="s">
        <v>25</v>
      </c>
      <c r="E728" t="s">
        <v>30</v>
      </c>
      <c r="F728" t="s">
        <v>42</v>
      </c>
      <c r="G728" t="s">
        <v>45</v>
      </c>
      <c r="H728">
        <v>8263.73</v>
      </c>
      <c r="I728">
        <v>8580.24</v>
      </c>
      <c r="J728">
        <v>316.51000000000022</v>
      </c>
      <c r="K728" s="1">
        <v>3.8301106159083158</v>
      </c>
      <c r="L728" t="s">
        <v>55</v>
      </c>
    </row>
    <row r="729" spans="1:12" x14ac:dyDescent="0.3">
      <c r="A729" t="s">
        <v>19</v>
      </c>
      <c r="B729" s="7">
        <v>45962</v>
      </c>
      <c r="C729" t="s">
        <v>21</v>
      </c>
      <c r="D729" t="s">
        <v>25</v>
      </c>
      <c r="E729" t="s">
        <v>30</v>
      </c>
      <c r="F729" t="s">
        <v>42</v>
      </c>
      <c r="G729" t="s">
        <v>46</v>
      </c>
      <c r="H729">
        <v>6914.09</v>
      </c>
      <c r="I729">
        <v>8001.08</v>
      </c>
      <c r="J729">
        <v>1086.9899999999998</v>
      </c>
      <c r="K729" s="1">
        <v>15.721374757921863</v>
      </c>
      <c r="L729" t="s">
        <v>55</v>
      </c>
    </row>
    <row r="730" spans="1:12" x14ac:dyDescent="0.3">
      <c r="A730" t="s">
        <v>19</v>
      </c>
      <c r="B730" s="7">
        <v>45962</v>
      </c>
      <c r="C730" t="s">
        <v>21</v>
      </c>
      <c r="D730" t="s">
        <v>25</v>
      </c>
      <c r="E730" t="s">
        <v>30</v>
      </c>
      <c r="F730" t="s">
        <v>42</v>
      </c>
      <c r="G730" t="s">
        <v>47</v>
      </c>
      <c r="H730">
        <v>20946.89</v>
      </c>
      <c r="I730">
        <v>22481.24</v>
      </c>
      <c r="J730">
        <v>1534.3500000000022</v>
      </c>
      <c r="K730" s="1">
        <v>7.3249537282145578</v>
      </c>
      <c r="L730" t="s">
        <v>55</v>
      </c>
    </row>
    <row r="731" spans="1:12" x14ac:dyDescent="0.3">
      <c r="A731" t="s">
        <v>19</v>
      </c>
      <c r="B731" s="7">
        <v>45962</v>
      </c>
      <c r="C731" t="s">
        <v>21</v>
      </c>
      <c r="D731" t="s">
        <v>25</v>
      </c>
      <c r="E731" t="s">
        <v>30</v>
      </c>
      <c r="F731" t="s">
        <v>42</v>
      </c>
      <c r="G731" t="s">
        <v>48</v>
      </c>
      <c r="H731">
        <v>6155.84</v>
      </c>
      <c r="I731">
        <v>6570.94</v>
      </c>
      <c r="J731">
        <v>415.09999999999945</v>
      </c>
      <c r="K731" s="1">
        <v>6.7431902063731259</v>
      </c>
      <c r="L731" t="s">
        <v>55</v>
      </c>
    </row>
    <row r="732" spans="1:12" x14ac:dyDescent="0.3">
      <c r="A732" t="s">
        <v>19</v>
      </c>
      <c r="B732" s="7">
        <v>45962</v>
      </c>
      <c r="C732" t="s">
        <v>21</v>
      </c>
      <c r="D732" t="s">
        <v>25</v>
      </c>
      <c r="E732" t="s">
        <v>30</v>
      </c>
      <c r="F732" t="s">
        <v>42</v>
      </c>
      <c r="G732" t="s">
        <v>49</v>
      </c>
      <c r="H732">
        <v>3452.12</v>
      </c>
      <c r="I732">
        <v>3676.18</v>
      </c>
      <c r="J732">
        <v>224.05999999999995</v>
      </c>
      <c r="K732" s="1">
        <v>6.4905043857108087</v>
      </c>
      <c r="L732" t="s">
        <v>55</v>
      </c>
    </row>
    <row r="733" spans="1:12" x14ac:dyDescent="0.3">
      <c r="A733" t="s">
        <v>19</v>
      </c>
      <c r="B733" s="7">
        <v>45962</v>
      </c>
      <c r="C733" t="s">
        <v>21</v>
      </c>
      <c r="D733" t="s">
        <v>25</v>
      </c>
      <c r="E733" t="s">
        <v>30</v>
      </c>
      <c r="F733" t="s">
        <v>42</v>
      </c>
      <c r="G733" t="s">
        <v>51</v>
      </c>
      <c r="H733">
        <v>4883.7299999999996</v>
      </c>
      <c r="I733">
        <v>5211.38</v>
      </c>
      <c r="J733">
        <v>327.65000000000055</v>
      </c>
      <c r="K733" s="1">
        <v>6.7090113499313135</v>
      </c>
      <c r="L733" t="s">
        <v>55</v>
      </c>
    </row>
    <row r="734" spans="1:12" x14ac:dyDescent="0.3">
      <c r="A734" t="s">
        <v>19</v>
      </c>
      <c r="B734" s="7">
        <v>45962</v>
      </c>
      <c r="C734" t="s">
        <v>21</v>
      </c>
      <c r="D734" t="s">
        <v>25</v>
      </c>
      <c r="E734" t="s">
        <v>31</v>
      </c>
      <c r="F734" t="s">
        <v>43</v>
      </c>
      <c r="G734" t="s">
        <v>45</v>
      </c>
      <c r="H734">
        <v>8772.7099999999991</v>
      </c>
      <c r="I734">
        <v>7596.38</v>
      </c>
      <c r="J734">
        <v>-1176.329999999999</v>
      </c>
      <c r="K734" s="1">
        <v>-13.408969406260999</v>
      </c>
      <c r="L734" t="s">
        <v>55</v>
      </c>
    </row>
    <row r="735" spans="1:12" x14ac:dyDescent="0.3">
      <c r="A735" t="s">
        <v>19</v>
      </c>
      <c r="B735" s="7">
        <v>45962</v>
      </c>
      <c r="C735" t="s">
        <v>21</v>
      </c>
      <c r="D735" t="s">
        <v>25</v>
      </c>
      <c r="E735" t="s">
        <v>31</v>
      </c>
      <c r="F735" t="s">
        <v>43</v>
      </c>
      <c r="G735" t="s">
        <v>46</v>
      </c>
      <c r="H735">
        <v>12026.74</v>
      </c>
      <c r="I735">
        <v>11837.68</v>
      </c>
      <c r="J735">
        <v>-189.05999999999949</v>
      </c>
      <c r="K735" s="1">
        <v>-1.57199706653673</v>
      </c>
      <c r="L735" t="s">
        <v>55</v>
      </c>
    </row>
    <row r="736" spans="1:12" x14ac:dyDescent="0.3">
      <c r="A736" t="s">
        <v>19</v>
      </c>
      <c r="B736" s="7">
        <v>45962</v>
      </c>
      <c r="C736" t="s">
        <v>21</v>
      </c>
      <c r="D736" t="s">
        <v>25</v>
      </c>
      <c r="E736" t="s">
        <v>31</v>
      </c>
      <c r="F736" t="s">
        <v>43</v>
      </c>
      <c r="G736" t="s">
        <v>47</v>
      </c>
      <c r="H736">
        <v>22904.14</v>
      </c>
      <c r="I736">
        <v>25382.07</v>
      </c>
      <c r="J736">
        <v>2477.9300000000003</v>
      </c>
      <c r="K736" s="1">
        <v>10.818699152205673</v>
      </c>
      <c r="L736" t="s">
        <v>55</v>
      </c>
    </row>
    <row r="737" spans="1:12" x14ac:dyDescent="0.3">
      <c r="A737" t="s">
        <v>19</v>
      </c>
      <c r="B737" s="7">
        <v>45962</v>
      </c>
      <c r="C737" t="s">
        <v>21</v>
      </c>
      <c r="D737" t="s">
        <v>25</v>
      </c>
      <c r="E737" t="s">
        <v>31</v>
      </c>
      <c r="F737" t="s">
        <v>43</v>
      </c>
      <c r="G737" t="s">
        <v>48</v>
      </c>
      <c r="H737">
        <v>7631.47</v>
      </c>
      <c r="I737">
        <v>8346.4500000000007</v>
      </c>
      <c r="J737">
        <v>714.98000000000047</v>
      </c>
      <c r="K737" s="1">
        <v>9.3688371965034314</v>
      </c>
      <c r="L737" t="s">
        <v>55</v>
      </c>
    </row>
    <row r="738" spans="1:12" x14ac:dyDescent="0.3">
      <c r="A738" t="s">
        <v>19</v>
      </c>
      <c r="B738" s="7">
        <v>45962</v>
      </c>
      <c r="C738" t="s">
        <v>21</v>
      </c>
      <c r="D738" t="s">
        <v>25</v>
      </c>
      <c r="E738" t="s">
        <v>31</v>
      </c>
      <c r="F738" t="s">
        <v>43</v>
      </c>
      <c r="G738" t="s">
        <v>49</v>
      </c>
      <c r="H738">
        <v>4469.88</v>
      </c>
      <c r="I738">
        <v>4395.53</v>
      </c>
      <c r="J738">
        <v>-74.350000000000364</v>
      </c>
      <c r="K738" s="1">
        <v>-1.6633556158107232</v>
      </c>
      <c r="L738" t="s">
        <v>55</v>
      </c>
    </row>
    <row r="739" spans="1:12" x14ac:dyDescent="0.3">
      <c r="A739" t="s">
        <v>19</v>
      </c>
      <c r="B739" s="7">
        <v>45962</v>
      </c>
      <c r="C739" t="s">
        <v>21</v>
      </c>
      <c r="D739" t="s">
        <v>25</v>
      </c>
      <c r="E739" t="s">
        <v>31</v>
      </c>
      <c r="F739" t="s">
        <v>43</v>
      </c>
      <c r="G739" t="s">
        <v>51</v>
      </c>
      <c r="H739">
        <v>5677.32</v>
      </c>
      <c r="I739">
        <v>6076.47</v>
      </c>
      <c r="J739">
        <v>399.15000000000055</v>
      </c>
      <c r="K739" s="1">
        <v>7.030605990150292</v>
      </c>
      <c r="L739" t="s">
        <v>55</v>
      </c>
    </row>
    <row r="740" spans="1:12" x14ac:dyDescent="0.3">
      <c r="A740" t="s">
        <v>19</v>
      </c>
      <c r="B740" s="7">
        <v>45962</v>
      </c>
      <c r="C740" t="s">
        <v>22</v>
      </c>
      <c r="D740" t="s">
        <v>26</v>
      </c>
      <c r="E740" t="s">
        <v>32</v>
      </c>
      <c r="F740" t="s">
        <v>41</v>
      </c>
      <c r="G740" t="s">
        <v>45</v>
      </c>
      <c r="H740">
        <v>8025.6</v>
      </c>
      <c r="I740">
        <v>8840.6299999999992</v>
      </c>
      <c r="J740">
        <v>815.02999999999884</v>
      </c>
      <c r="K740" s="1">
        <v>10.155377791068565</v>
      </c>
      <c r="L740" t="s">
        <v>55</v>
      </c>
    </row>
    <row r="741" spans="1:12" x14ac:dyDescent="0.3">
      <c r="A741" t="s">
        <v>19</v>
      </c>
      <c r="B741" s="7">
        <v>45962</v>
      </c>
      <c r="C741" t="s">
        <v>22</v>
      </c>
      <c r="D741" t="s">
        <v>26</v>
      </c>
      <c r="E741" t="s">
        <v>32</v>
      </c>
      <c r="F741" t="s">
        <v>41</v>
      </c>
      <c r="G741" t="s">
        <v>46</v>
      </c>
      <c r="H741">
        <v>11058.19</v>
      </c>
      <c r="I741">
        <v>10989</v>
      </c>
      <c r="J741">
        <v>-69.190000000000509</v>
      </c>
      <c r="K741" s="1">
        <v>-0.62569009937431452</v>
      </c>
      <c r="L741" t="s">
        <v>55</v>
      </c>
    </row>
    <row r="742" spans="1:12" x14ac:dyDescent="0.3">
      <c r="A742" t="s">
        <v>19</v>
      </c>
      <c r="B742" s="7">
        <v>45962</v>
      </c>
      <c r="C742" t="s">
        <v>22</v>
      </c>
      <c r="D742" t="s">
        <v>26</v>
      </c>
      <c r="E742" t="s">
        <v>32</v>
      </c>
      <c r="F742" t="s">
        <v>41</v>
      </c>
      <c r="G742" t="s">
        <v>47</v>
      </c>
      <c r="H742">
        <v>22332.61</v>
      </c>
      <c r="I742">
        <v>19868.63</v>
      </c>
      <c r="J742">
        <v>-2463.9799999999996</v>
      </c>
      <c r="K742" s="1">
        <v>-11.033103609475111</v>
      </c>
      <c r="L742" t="s">
        <v>55</v>
      </c>
    </row>
    <row r="743" spans="1:12" x14ac:dyDescent="0.3">
      <c r="A743" t="s">
        <v>19</v>
      </c>
      <c r="B743" s="7">
        <v>45962</v>
      </c>
      <c r="C743" t="s">
        <v>22</v>
      </c>
      <c r="D743" t="s">
        <v>26</v>
      </c>
      <c r="E743" t="s">
        <v>32</v>
      </c>
      <c r="F743" t="s">
        <v>41</v>
      </c>
      <c r="G743" t="s">
        <v>48</v>
      </c>
      <c r="H743">
        <v>7536.85</v>
      </c>
      <c r="I743">
        <v>6420.65</v>
      </c>
      <c r="J743">
        <v>-1116.2000000000007</v>
      </c>
      <c r="K743" s="1">
        <v>-14.809900687953197</v>
      </c>
      <c r="L743" t="s">
        <v>55</v>
      </c>
    </row>
    <row r="744" spans="1:12" x14ac:dyDescent="0.3">
      <c r="A744" t="s">
        <v>19</v>
      </c>
      <c r="B744" s="7">
        <v>45962</v>
      </c>
      <c r="C744" t="s">
        <v>22</v>
      </c>
      <c r="D744" t="s">
        <v>26</v>
      </c>
      <c r="E744" t="s">
        <v>32</v>
      </c>
      <c r="F744" t="s">
        <v>41</v>
      </c>
      <c r="G744" t="s">
        <v>49</v>
      </c>
      <c r="H744">
        <v>3306.63</v>
      </c>
      <c r="I744">
        <v>3210.51</v>
      </c>
      <c r="J744">
        <v>-96.119999999999891</v>
      </c>
      <c r="K744" s="1">
        <v>-2.9068870723364841</v>
      </c>
      <c r="L744" t="s">
        <v>55</v>
      </c>
    </row>
    <row r="745" spans="1:12" x14ac:dyDescent="0.3">
      <c r="A745" t="s">
        <v>19</v>
      </c>
      <c r="B745" s="7">
        <v>45962</v>
      </c>
      <c r="C745" t="s">
        <v>22</v>
      </c>
      <c r="D745" t="s">
        <v>26</v>
      </c>
      <c r="E745" t="s">
        <v>32</v>
      </c>
      <c r="F745" t="s">
        <v>41</v>
      </c>
      <c r="G745" t="s">
        <v>51</v>
      </c>
      <c r="H745">
        <v>5926.22</v>
      </c>
      <c r="I745">
        <v>6397.38</v>
      </c>
      <c r="J745">
        <v>471.15999999999985</v>
      </c>
      <c r="K745" s="1">
        <v>7.950430459888425</v>
      </c>
      <c r="L745" t="s">
        <v>55</v>
      </c>
    </row>
    <row r="746" spans="1:12" x14ac:dyDescent="0.3">
      <c r="A746" t="s">
        <v>19</v>
      </c>
      <c r="B746" s="7">
        <v>45962</v>
      </c>
      <c r="C746" t="s">
        <v>22</v>
      </c>
      <c r="D746" t="s">
        <v>26</v>
      </c>
      <c r="E746" t="s">
        <v>33</v>
      </c>
      <c r="F746" t="s">
        <v>42</v>
      </c>
      <c r="G746" t="s">
        <v>45</v>
      </c>
      <c r="H746">
        <v>6390.38</v>
      </c>
      <c r="I746">
        <v>6378.04</v>
      </c>
      <c r="J746">
        <v>-12.340000000000146</v>
      </c>
      <c r="K746" s="1">
        <v>-0.19310275758249346</v>
      </c>
      <c r="L746" t="s">
        <v>55</v>
      </c>
    </row>
    <row r="747" spans="1:12" x14ac:dyDescent="0.3">
      <c r="A747" t="s">
        <v>19</v>
      </c>
      <c r="B747" s="7">
        <v>45962</v>
      </c>
      <c r="C747" t="s">
        <v>22</v>
      </c>
      <c r="D747" t="s">
        <v>26</v>
      </c>
      <c r="E747" t="s">
        <v>33</v>
      </c>
      <c r="F747" t="s">
        <v>42</v>
      </c>
      <c r="G747" t="s">
        <v>46</v>
      </c>
      <c r="H747">
        <v>8032.74</v>
      </c>
      <c r="I747">
        <v>7817.24</v>
      </c>
      <c r="J747">
        <v>-215.5</v>
      </c>
      <c r="K747" s="1">
        <v>-2.6827707606619908</v>
      </c>
      <c r="L747" t="s">
        <v>55</v>
      </c>
    </row>
    <row r="748" spans="1:12" x14ac:dyDescent="0.3">
      <c r="A748" t="s">
        <v>19</v>
      </c>
      <c r="B748" s="7">
        <v>45962</v>
      </c>
      <c r="C748" t="s">
        <v>22</v>
      </c>
      <c r="D748" t="s">
        <v>26</v>
      </c>
      <c r="E748" t="s">
        <v>33</v>
      </c>
      <c r="F748" t="s">
        <v>42</v>
      </c>
      <c r="G748" t="s">
        <v>47</v>
      </c>
      <c r="H748">
        <v>15954.51</v>
      </c>
      <c r="I748">
        <v>13946.71</v>
      </c>
      <c r="J748">
        <v>-2007.8000000000011</v>
      </c>
      <c r="K748" s="1">
        <v>-12.584529390122299</v>
      </c>
      <c r="L748" t="s">
        <v>55</v>
      </c>
    </row>
    <row r="749" spans="1:12" x14ac:dyDescent="0.3">
      <c r="A749" t="s">
        <v>19</v>
      </c>
      <c r="B749" s="7">
        <v>45962</v>
      </c>
      <c r="C749" t="s">
        <v>22</v>
      </c>
      <c r="D749" t="s">
        <v>26</v>
      </c>
      <c r="E749" t="s">
        <v>33</v>
      </c>
      <c r="F749" t="s">
        <v>42</v>
      </c>
      <c r="G749" t="s">
        <v>48</v>
      </c>
      <c r="H749">
        <v>7784.48</v>
      </c>
      <c r="I749">
        <v>8333.3700000000008</v>
      </c>
      <c r="J749">
        <v>548.89000000000124</v>
      </c>
      <c r="K749" s="1">
        <v>7.0510811255215673</v>
      </c>
      <c r="L749" t="s">
        <v>55</v>
      </c>
    </row>
    <row r="750" spans="1:12" x14ac:dyDescent="0.3">
      <c r="A750" t="s">
        <v>19</v>
      </c>
      <c r="B750" s="7">
        <v>45962</v>
      </c>
      <c r="C750" t="s">
        <v>22</v>
      </c>
      <c r="D750" t="s">
        <v>26</v>
      </c>
      <c r="E750" t="s">
        <v>33</v>
      </c>
      <c r="F750" t="s">
        <v>42</v>
      </c>
      <c r="G750" t="s">
        <v>49</v>
      </c>
      <c r="H750">
        <v>3925.93</v>
      </c>
      <c r="I750">
        <v>3937.52</v>
      </c>
      <c r="J750">
        <v>11.590000000000146</v>
      </c>
      <c r="K750" s="1">
        <v>0.29521667477515251</v>
      </c>
      <c r="L750" t="s">
        <v>55</v>
      </c>
    </row>
    <row r="751" spans="1:12" x14ac:dyDescent="0.3">
      <c r="A751" t="s">
        <v>19</v>
      </c>
      <c r="B751" s="7">
        <v>45962</v>
      </c>
      <c r="C751" t="s">
        <v>22</v>
      </c>
      <c r="D751" t="s">
        <v>26</v>
      </c>
      <c r="E751" t="s">
        <v>33</v>
      </c>
      <c r="F751" t="s">
        <v>42</v>
      </c>
      <c r="G751" t="s">
        <v>51</v>
      </c>
      <c r="H751">
        <v>5867.23</v>
      </c>
      <c r="I751">
        <v>6658.72</v>
      </c>
      <c r="J751">
        <v>791.49000000000069</v>
      </c>
      <c r="K751" s="1">
        <v>13.490011470489494</v>
      </c>
      <c r="L751" t="s">
        <v>55</v>
      </c>
    </row>
    <row r="752" spans="1:12" x14ac:dyDescent="0.3">
      <c r="A752" t="s">
        <v>19</v>
      </c>
      <c r="B752" s="7">
        <v>45962</v>
      </c>
      <c r="C752" t="s">
        <v>22</v>
      </c>
      <c r="D752" t="s">
        <v>26</v>
      </c>
      <c r="E752" t="s">
        <v>34</v>
      </c>
      <c r="F752" t="s">
        <v>43</v>
      </c>
      <c r="G752" t="s">
        <v>45</v>
      </c>
      <c r="H752">
        <v>6899.42</v>
      </c>
      <c r="I752">
        <v>6955.51</v>
      </c>
      <c r="J752">
        <v>56.090000000000146</v>
      </c>
      <c r="K752" s="1">
        <v>0.81296688707166898</v>
      </c>
      <c r="L752" t="s">
        <v>55</v>
      </c>
    </row>
    <row r="753" spans="1:12" x14ac:dyDescent="0.3">
      <c r="A753" t="s">
        <v>19</v>
      </c>
      <c r="B753" s="7">
        <v>45962</v>
      </c>
      <c r="C753" t="s">
        <v>22</v>
      </c>
      <c r="D753" t="s">
        <v>26</v>
      </c>
      <c r="E753" t="s">
        <v>34</v>
      </c>
      <c r="F753" t="s">
        <v>43</v>
      </c>
      <c r="G753" t="s">
        <v>46</v>
      </c>
      <c r="H753">
        <v>6888.47</v>
      </c>
      <c r="I753">
        <v>6630.92</v>
      </c>
      <c r="J753">
        <v>-257.55000000000018</v>
      </c>
      <c r="K753" s="1">
        <v>-3.7388563788475548</v>
      </c>
      <c r="L753" t="s">
        <v>55</v>
      </c>
    </row>
    <row r="754" spans="1:12" x14ac:dyDescent="0.3">
      <c r="A754" t="s">
        <v>19</v>
      </c>
      <c r="B754" s="7">
        <v>45962</v>
      </c>
      <c r="C754" t="s">
        <v>22</v>
      </c>
      <c r="D754" t="s">
        <v>26</v>
      </c>
      <c r="E754" t="s">
        <v>34</v>
      </c>
      <c r="F754" t="s">
        <v>43</v>
      </c>
      <c r="G754" t="s">
        <v>47</v>
      </c>
      <c r="H754">
        <v>17606.11</v>
      </c>
      <c r="I754">
        <v>17282.36</v>
      </c>
      <c r="J754">
        <v>-323.75</v>
      </c>
      <c r="K754" s="1">
        <v>-1.8388502627780923</v>
      </c>
      <c r="L754" t="s">
        <v>55</v>
      </c>
    </row>
    <row r="755" spans="1:12" x14ac:dyDescent="0.3">
      <c r="A755" t="s">
        <v>19</v>
      </c>
      <c r="B755" s="7">
        <v>45962</v>
      </c>
      <c r="C755" t="s">
        <v>22</v>
      </c>
      <c r="D755" t="s">
        <v>26</v>
      </c>
      <c r="E755" t="s">
        <v>34</v>
      </c>
      <c r="F755" t="s">
        <v>43</v>
      </c>
      <c r="G755" t="s">
        <v>48</v>
      </c>
      <c r="H755">
        <v>7686.72</v>
      </c>
      <c r="I755">
        <v>7887.26</v>
      </c>
      <c r="J755">
        <v>200.53999999999996</v>
      </c>
      <c r="K755" s="1">
        <v>2.6089151159402184</v>
      </c>
      <c r="L755" t="s">
        <v>55</v>
      </c>
    </row>
    <row r="756" spans="1:12" x14ac:dyDescent="0.3">
      <c r="A756" t="s">
        <v>19</v>
      </c>
      <c r="B756" s="7">
        <v>45962</v>
      </c>
      <c r="C756" t="s">
        <v>22</v>
      </c>
      <c r="D756" t="s">
        <v>26</v>
      </c>
      <c r="E756" t="s">
        <v>34</v>
      </c>
      <c r="F756" t="s">
        <v>43</v>
      </c>
      <c r="G756" t="s">
        <v>49</v>
      </c>
      <c r="H756">
        <v>3901.6</v>
      </c>
      <c r="I756">
        <v>4301.17</v>
      </c>
      <c r="J756">
        <v>399.57000000000016</v>
      </c>
      <c r="K756" s="1">
        <v>10.241183104367444</v>
      </c>
      <c r="L756" t="s">
        <v>55</v>
      </c>
    </row>
    <row r="757" spans="1:12" x14ac:dyDescent="0.3">
      <c r="A757" t="s">
        <v>19</v>
      </c>
      <c r="B757" s="7">
        <v>45962</v>
      </c>
      <c r="C757" t="s">
        <v>22</v>
      </c>
      <c r="D757" t="s">
        <v>26</v>
      </c>
      <c r="E757" t="s">
        <v>34</v>
      </c>
      <c r="F757" t="s">
        <v>43</v>
      </c>
      <c r="G757" t="s">
        <v>51</v>
      </c>
      <c r="H757">
        <v>7426.75</v>
      </c>
      <c r="I757">
        <v>8072.73</v>
      </c>
      <c r="J757">
        <v>645.97999999999956</v>
      </c>
      <c r="K757" s="1">
        <v>8.6980173023193128</v>
      </c>
      <c r="L757" t="s">
        <v>55</v>
      </c>
    </row>
    <row r="758" spans="1:12" x14ac:dyDescent="0.3">
      <c r="A758" t="s">
        <v>19</v>
      </c>
      <c r="B758" s="7">
        <v>45962</v>
      </c>
      <c r="C758" t="s">
        <v>23</v>
      </c>
      <c r="D758" t="s">
        <v>27</v>
      </c>
      <c r="E758" t="s">
        <v>35</v>
      </c>
      <c r="F758" t="s">
        <v>41</v>
      </c>
      <c r="G758" t="s">
        <v>45</v>
      </c>
      <c r="H758">
        <v>8601.5400000000009</v>
      </c>
      <c r="I758">
        <v>7363.06</v>
      </c>
      <c r="J758">
        <v>-1238.4800000000005</v>
      </c>
      <c r="K758" s="1">
        <v>-14.398351923027741</v>
      </c>
      <c r="L758" t="s">
        <v>55</v>
      </c>
    </row>
    <row r="759" spans="1:12" x14ac:dyDescent="0.3">
      <c r="A759" t="s">
        <v>19</v>
      </c>
      <c r="B759" s="7">
        <v>45962</v>
      </c>
      <c r="C759" t="s">
        <v>23</v>
      </c>
      <c r="D759" t="s">
        <v>27</v>
      </c>
      <c r="E759" t="s">
        <v>35</v>
      </c>
      <c r="F759" t="s">
        <v>41</v>
      </c>
      <c r="G759" t="s">
        <v>46</v>
      </c>
      <c r="H759">
        <v>7807.2</v>
      </c>
      <c r="I759">
        <v>6655.61</v>
      </c>
      <c r="J759">
        <v>-1151.5900000000001</v>
      </c>
      <c r="K759" s="1">
        <v>-14.750358643303619</v>
      </c>
      <c r="L759" t="s">
        <v>55</v>
      </c>
    </row>
    <row r="760" spans="1:12" x14ac:dyDescent="0.3">
      <c r="A760" t="s">
        <v>19</v>
      </c>
      <c r="B760" s="7">
        <v>45962</v>
      </c>
      <c r="C760" t="s">
        <v>23</v>
      </c>
      <c r="D760" t="s">
        <v>27</v>
      </c>
      <c r="E760" t="s">
        <v>35</v>
      </c>
      <c r="F760" t="s">
        <v>41</v>
      </c>
      <c r="G760" t="s">
        <v>47</v>
      </c>
      <c r="H760">
        <v>20492.73</v>
      </c>
      <c r="I760">
        <v>23491.84</v>
      </c>
      <c r="J760">
        <v>2999.1100000000006</v>
      </c>
      <c r="K760" s="1">
        <v>14.634994946988519</v>
      </c>
      <c r="L760" t="s">
        <v>55</v>
      </c>
    </row>
    <row r="761" spans="1:12" x14ac:dyDescent="0.3">
      <c r="A761" t="s">
        <v>19</v>
      </c>
      <c r="B761" s="7">
        <v>45962</v>
      </c>
      <c r="C761" t="s">
        <v>23</v>
      </c>
      <c r="D761" t="s">
        <v>27</v>
      </c>
      <c r="E761" t="s">
        <v>35</v>
      </c>
      <c r="F761" t="s">
        <v>41</v>
      </c>
      <c r="G761" t="s">
        <v>48</v>
      </c>
      <c r="H761">
        <v>6272.63</v>
      </c>
      <c r="I761">
        <v>7250.66</v>
      </c>
      <c r="J761">
        <v>978.02999999999975</v>
      </c>
      <c r="K761" s="1">
        <v>15.5920243980595</v>
      </c>
      <c r="L761" t="s">
        <v>55</v>
      </c>
    </row>
    <row r="762" spans="1:12" x14ac:dyDescent="0.3">
      <c r="A762" t="s">
        <v>19</v>
      </c>
      <c r="B762" s="7">
        <v>45962</v>
      </c>
      <c r="C762" t="s">
        <v>23</v>
      </c>
      <c r="D762" t="s">
        <v>27</v>
      </c>
      <c r="E762" t="s">
        <v>35</v>
      </c>
      <c r="F762" t="s">
        <v>41</v>
      </c>
      <c r="G762" t="s">
        <v>49</v>
      </c>
      <c r="H762">
        <v>2751.56</v>
      </c>
      <c r="I762">
        <v>3187.31</v>
      </c>
      <c r="J762">
        <v>435.75</v>
      </c>
      <c r="K762" s="1">
        <v>15.836470947389843</v>
      </c>
      <c r="L762" t="s">
        <v>55</v>
      </c>
    </row>
    <row r="763" spans="1:12" x14ac:dyDescent="0.3">
      <c r="A763" t="s">
        <v>19</v>
      </c>
      <c r="B763" s="7">
        <v>45962</v>
      </c>
      <c r="C763" t="s">
        <v>23</v>
      </c>
      <c r="D763" t="s">
        <v>27</v>
      </c>
      <c r="E763" t="s">
        <v>35</v>
      </c>
      <c r="F763" t="s">
        <v>41</v>
      </c>
      <c r="G763" t="s">
        <v>51</v>
      </c>
      <c r="H763">
        <v>5765.84</v>
      </c>
      <c r="I763">
        <v>5093.9399999999996</v>
      </c>
      <c r="J763">
        <v>-671.90000000000055</v>
      </c>
      <c r="K763" s="1">
        <v>-11.653115591136773</v>
      </c>
      <c r="L763" t="s">
        <v>55</v>
      </c>
    </row>
    <row r="764" spans="1:12" x14ac:dyDescent="0.3">
      <c r="A764" t="s">
        <v>19</v>
      </c>
      <c r="B764" s="7">
        <v>45962</v>
      </c>
      <c r="C764" t="s">
        <v>23</v>
      </c>
      <c r="D764" t="s">
        <v>27</v>
      </c>
      <c r="E764" t="s">
        <v>36</v>
      </c>
      <c r="F764" t="s">
        <v>44</v>
      </c>
      <c r="G764" t="s">
        <v>45</v>
      </c>
      <c r="H764">
        <v>6769.9</v>
      </c>
      <c r="I764">
        <v>6328.07</v>
      </c>
      <c r="J764">
        <v>-441.82999999999993</v>
      </c>
      <c r="K764" s="1">
        <v>-6.5263888683732398</v>
      </c>
      <c r="L764" t="s">
        <v>55</v>
      </c>
    </row>
    <row r="765" spans="1:12" x14ac:dyDescent="0.3">
      <c r="A765" t="s">
        <v>19</v>
      </c>
      <c r="B765" s="7">
        <v>45962</v>
      </c>
      <c r="C765" t="s">
        <v>23</v>
      </c>
      <c r="D765" t="s">
        <v>27</v>
      </c>
      <c r="E765" t="s">
        <v>36</v>
      </c>
      <c r="F765" t="s">
        <v>44</v>
      </c>
      <c r="G765" t="s">
        <v>46</v>
      </c>
      <c r="H765">
        <v>8288.31</v>
      </c>
      <c r="I765">
        <v>7885.55</v>
      </c>
      <c r="J765">
        <v>-402.75999999999931</v>
      </c>
      <c r="K765" s="1">
        <v>-4.859374227074027</v>
      </c>
      <c r="L765" t="s">
        <v>55</v>
      </c>
    </row>
    <row r="766" spans="1:12" x14ac:dyDescent="0.3">
      <c r="A766" t="s">
        <v>19</v>
      </c>
      <c r="B766" s="7">
        <v>45962</v>
      </c>
      <c r="C766" t="s">
        <v>23</v>
      </c>
      <c r="D766" t="s">
        <v>27</v>
      </c>
      <c r="E766" t="s">
        <v>36</v>
      </c>
      <c r="F766" t="s">
        <v>44</v>
      </c>
      <c r="G766" t="s">
        <v>47</v>
      </c>
      <c r="H766">
        <v>22172.68</v>
      </c>
      <c r="I766">
        <v>22791.81</v>
      </c>
      <c r="J766">
        <v>619.13000000000102</v>
      </c>
      <c r="K766" s="1">
        <v>2.7923101763070637</v>
      </c>
      <c r="L766" t="s">
        <v>55</v>
      </c>
    </row>
    <row r="767" spans="1:12" x14ac:dyDescent="0.3">
      <c r="A767" t="s">
        <v>19</v>
      </c>
      <c r="B767" s="7">
        <v>45962</v>
      </c>
      <c r="C767" t="s">
        <v>23</v>
      </c>
      <c r="D767" t="s">
        <v>27</v>
      </c>
      <c r="E767" t="s">
        <v>36</v>
      </c>
      <c r="F767" t="s">
        <v>44</v>
      </c>
      <c r="G767" t="s">
        <v>48</v>
      </c>
      <c r="H767">
        <v>6557.49</v>
      </c>
      <c r="I767">
        <v>6894.61</v>
      </c>
      <c r="J767">
        <v>337.11999999999989</v>
      </c>
      <c r="K767" s="1">
        <v>5.1409914464223343</v>
      </c>
      <c r="L767" t="s">
        <v>55</v>
      </c>
    </row>
    <row r="768" spans="1:12" x14ac:dyDescent="0.3">
      <c r="A768" t="s">
        <v>19</v>
      </c>
      <c r="B768" s="7">
        <v>45962</v>
      </c>
      <c r="C768" t="s">
        <v>23</v>
      </c>
      <c r="D768" t="s">
        <v>27</v>
      </c>
      <c r="E768" t="s">
        <v>36</v>
      </c>
      <c r="F768" t="s">
        <v>44</v>
      </c>
      <c r="G768" t="s">
        <v>49</v>
      </c>
      <c r="H768">
        <v>4128.92</v>
      </c>
      <c r="I768">
        <v>3881.04</v>
      </c>
      <c r="J768">
        <v>-247.88000000000011</v>
      </c>
      <c r="K768" s="1">
        <v>-6.0035069703457591</v>
      </c>
      <c r="L768" t="s">
        <v>55</v>
      </c>
    </row>
    <row r="769" spans="1:12" x14ac:dyDescent="0.3">
      <c r="A769" t="s">
        <v>19</v>
      </c>
      <c r="B769" s="7">
        <v>45962</v>
      </c>
      <c r="C769" t="s">
        <v>23</v>
      </c>
      <c r="D769" t="s">
        <v>27</v>
      </c>
      <c r="E769" t="s">
        <v>36</v>
      </c>
      <c r="F769" t="s">
        <v>44</v>
      </c>
      <c r="G769" t="s">
        <v>51</v>
      </c>
      <c r="H769">
        <v>5988.78</v>
      </c>
      <c r="I769">
        <v>5331.34</v>
      </c>
      <c r="J769">
        <v>-657.4399999999996</v>
      </c>
      <c r="K769" s="1">
        <v>-10.977861935152061</v>
      </c>
      <c r="L769" t="s">
        <v>55</v>
      </c>
    </row>
    <row r="770" spans="1:12" x14ac:dyDescent="0.3">
      <c r="A770" t="s">
        <v>19</v>
      </c>
      <c r="B770" s="7">
        <v>45962</v>
      </c>
      <c r="C770" t="s">
        <v>23</v>
      </c>
      <c r="D770" t="s">
        <v>27</v>
      </c>
      <c r="E770" t="s">
        <v>37</v>
      </c>
      <c r="F770" t="s">
        <v>43</v>
      </c>
      <c r="G770" t="s">
        <v>45</v>
      </c>
      <c r="H770">
        <v>5581.48</v>
      </c>
      <c r="I770">
        <v>5998.8</v>
      </c>
      <c r="J770">
        <v>417.32000000000062</v>
      </c>
      <c r="K770" s="1">
        <v>7.4768699341393434</v>
      </c>
      <c r="L770" t="s">
        <v>55</v>
      </c>
    </row>
    <row r="771" spans="1:12" x14ac:dyDescent="0.3">
      <c r="A771" t="s">
        <v>19</v>
      </c>
      <c r="B771" s="7">
        <v>45962</v>
      </c>
      <c r="C771" t="s">
        <v>23</v>
      </c>
      <c r="D771" t="s">
        <v>27</v>
      </c>
      <c r="E771" t="s">
        <v>37</v>
      </c>
      <c r="F771" t="s">
        <v>43</v>
      </c>
      <c r="G771" t="s">
        <v>46</v>
      </c>
      <c r="H771">
        <v>7729.77</v>
      </c>
      <c r="I771">
        <v>7909.9</v>
      </c>
      <c r="J771">
        <v>180.1299999999992</v>
      </c>
      <c r="K771" s="1">
        <v>2.3303410062653764</v>
      </c>
      <c r="L771" t="s">
        <v>55</v>
      </c>
    </row>
    <row r="772" spans="1:12" x14ac:dyDescent="0.3">
      <c r="A772" t="s">
        <v>19</v>
      </c>
      <c r="B772" s="7">
        <v>45962</v>
      </c>
      <c r="C772" t="s">
        <v>23</v>
      </c>
      <c r="D772" t="s">
        <v>27</v>
      </c>
      <c r="E772" t="s">
        <v>37</v>
      </c>
      <c r="F772" t="s">
        <v>43</v>
      </c>
      <c r="G772" t="s">
        <v>47</v>
      </c>
      <c r="H772">
        <v>21157.7</v>
      </c>
      <c r="I772">
        <v>18730.259999999998</v>
      </c>
      <c r="J772">
        <v>-2427.4400000000023</v>
      </c>
      <c r="K772" s="1">
        <v>-11.47308072238477</v>
      </c>
      <c r="L772" t="s">
        <v>55</v>
      </c>
    </row>
    <row r="773" spans="1:12" x14ac:dyDescent="0.3">
      <c r="A773" t="s">
        <v>19</v>
      </c>
      <c r="B773" s="7">
        <v>45962</v>
      </c>
      <c r="C773" t="s">
        <v>23</v>
      </c>
      <c r="D773" t="s">
        <v>27</v>
      </c>
      <c r="E773" t="s">
        <v>37</v>
      </c>
      <c r="F773" t="s">
        <v>43</v>
      </c>
      <c r="G773" t="s">
        <v>48</v>
      </c>
      <c r="H773">
        <v>7632.71</v>
      </c>
      <c r="I773">
        <v>7134.03</v>
      </c>
      <c r="J773">
        <v>-498.68000000000029</v>
      </c>
      <c r="K773" s="1">
        <v>-6.5334592824828963</v>
      </c>
      <c r="L773" t="s">
        <v>55</v>
      </c>
    </row>
    <row r="774" spans="1:12" x14ac:dyDescent="0.3">
      <c r="A774" t="s">
        <v>19</v>
      </c>
      <c r="B774" s="7">
        <v>45962</v>
      </c>
      <c r="C774" t="s">
        <v>23</v>
      </c>
      <c r="D774" t="s">
        <v>27</v>
      </c>
      <c r="E774" t="s">
        <v>37</v>
      </c>
      <c r="F774" t="s">
        <v>43</v>
      </c>
      <c r="G774" t="s">
        <v>49</v>
      </c>
      <c r="H774">
        <v>4647.1499999999996</v>
      </c>
      <c r="I774">
        <v>4691.62</v>
      </c>
      <c r="J774">
        <v>44.470000000000255</v>
      </c>
      <c r="K774" s="1">
        <v>0.95693059186813989</v>
      </c>
      <c r="L774" t="s">
        <v>55</v>
      </c>
    </row>
    <row r="775" spans="1:12" x14ac:dyDescent="0.3">
      <c r="A775" t="s">
        <v>19</v>
      </c>
      <c r="B775" s="7">
        <v>45962</v>
      </c>
      <c r="C775" t="s">
        <v>23</v>
      </c>
      <c r="D775" t="s">
        <v>27</v>
      </c>
      <c r="E775" t="s">
        <v>37</v>
      </c>
      <c r="F775" t="s">
        <v>43</v>
      </c>
      <c r="G775" t="s">
        <v>51</v>
      </c>
      <c r="H775">
        <v>7401.57</v>
      </c>
      <c r="I775">
        <v>7635.28</v>
      </c>
      <c r="J775">
        <v>233.71000000000004</v>
      </c>
      <c r="K775" s="1">
        <v>3.1575733256592868</v>
      </c>
      <c r="L775" t="s">
        <v>55</v>
      </c>
    </row>
    <row r="776" spans="1:12" x14ac:dyDescent="0.3">
      <c r="A776" t="s">
        <v>19</v>
      </c>
      <c r="B776" s="7">
        <v>45962</v>
      </c>
      <c r="C776" t="s">
        <v>24</v>
      </c>
      <c r="D776" t="s">
        <v>28</v>
      </c>
      <c r="E776" t="s">
        <v>38</v>
      </c>
      <c r="F776" t="s">
        <v>41</v>
      </c>
      <c r="G776" t="s">
        <v>45</v>
      </c>
      <c r="H776">
        <v>5044.3100000000004</v>
      </c>
      <c r="I776">
        <v>5341.62</v>
      </c>
      <c r="J776">
        <v>297.30999999999949</v>
      </c>
      <c r="K776" s="1">
        <v>5.8939676586093928</v>
      </c>
      <c r="L776" t="s">
        <v>55</v>
      </c>
    </row>
    <row r="777" spans="1:12" x14ac:dyDescent="0.3">
      <c r="A777" t="s">
        <v>19</v>
      </c>
      <c r="B777" s="7">
        <v>45962</v>
      </c>
      <c r="C777" t="s">
        <v>24</v>
      </c>
      <c r="D777" t="s">
        <v>28</v>
      </c>
      <c r="E777" t="s">
        <v>38</v>
      </c>
      <c r="F777" t="s">
        <v>41</v>
      </c>
      <c r="G777" t="s">
        <v>46</v>
      </c>
      <c r="H777">
        <v>11887.58</v>
      </c>
      <c r="I777">
        <v>12464.5</v>
      </c>
      <c r="J777">
        <v>576.92000000000007</v>
      </c>
      <c r="K777" s="1">
        <v>4.8531324289720876</v>
      </c>
      <c r="L777" t="s">
        <v>55</v>
      </c>
    </row>
    <row r="778" spans="1:12" x14ac:dyDescent="0.3">
      <c r="A778" t="s">
        <v>19</v>
      </c>
      <c r="B778" s="7">
        <v>45962</v>
      </c>
      <c r="C778" t="s">
        <v>24</v>
      </c>
      <c r="D778" t="s">
        <v>28</v>
      </c>
      <c r="E778" t="s">
        <v>38</v>
      </c>
      <c r="F778" t="s">
        <v>41</v>
      </c>
      <c r="G778" t="s">
        <v>47</v>
      </c>
      <c r="H778">
        <v>22347.24</v>
      </c>
      <c r="I778">
        <v>25515.81</v>
      </c>
      <c r="J778">
        <v>3168.5699999999997</v>
      </c>
      <c r="K778" s="1">
        <v>14.178797918669147</v>
      </c>
      <c r="L778" t="s">
        <v>55</v>
      </c>
    </row>
    <row r="779" spans="1:12" x14ac:dyDescent="0.3">
      <c r="A779" t="s">
        <v>19</v>
      </c>
      <c r="B779" s="7">
        <v>45962</v>
      </c>
      <c r="C779" t="s">
        <v>24</v>
      </c>
      <c r="D779" t="s">
        <v>28</v>
      </c>
      <c r="E779" t="s">
        <v>38</v>
      </c>
      <c r="F779" t="s">
        <v>41</v>
      </c>
      <c r="G779" t="s">
        <v>48</v>
      </c>
      <c r="H779">
        <v>6207.94</v>
      </c>
      <c r="I779">
        <v>5711.14</v>
      </c>
      <c r="J779">
        <v>-496.79999999999927</v>
      </c>
      <c r="K779" s="1">
        <v>-8.0026546648324448</v>
      </c>
      <c r="L779" t="s">
        <v>55</v>
      </c>
    </row>
    <row r="780" spans="1:12" x14ac:dyDescent="0.3">
      <c r="A780" t="s">
        <v>19</v>
      </c>
      <c r="B780" s="7">
        <v>45962</v>
      </c>
      <c r="C780" t="s">
        <v>24</v>
      </c>
      <c r="D780" t="s">
        <v>28</v>
      </c>
      <c r="E780" t="s">
        <v>38</v>
      </c>
      <c r="F780" t="s">
        <v>41</v>
      </c>
      <c r="G780" t="s">
        <v>49</v>
      </c>
      <c r="H780">
        <v>3908.06</v>
      </c>
      <c r="I780">
        <v>3851.94</v>
      </c>
      <c r="J780">
        <v>-56.119999999999891</v>
      </c>
      <c r="K780" s="1">
        <v>-1.4360066119762718</v>
      </c>
      <c r="L780" t="s">
        <v>55</v>
      </c>
    </row>
    <row r="781" spans="1:12" x14ac:dyDescent="0.3">
      <c r="A781" t="s">
        <v>19</v>
      </c>
      <c r="B781" s="7">
        <v>45962</v>
      </c>
      <c r="C781" t="s">
        <v>24</v>
      </c>
      <c r="D781" t="s">
        <v>28</v>
      </c>
      <c r="E781" t="s">
        <v>38</v>
      </c>
      <c r="F781" t="s">
        <v>41</v>
      </c>
      <c r="G781" t="s">
        <v>51</v>
      </c>
      <c r="H781">
        <v>7523.5</v>
      </c>
      <c r="I781">
        <v>8629.51</v>
      </c>
      <c r="J781">
        <v>1106.0100000000002</v>
      </c>
      <c r="K781" s="1">
        <v>14.700737688575799</v>
      </c>
      <c r="L781" t="s">
        <v>55</v>
      </c>
    </row>
    <row r="782" spans="1:12" x14ac:dyDescent="0.3">
      <c r="A782" t="s">
        <v>19</v>
      </c>
      <c r="B782" s="7">
        <v>45962</v>
      </c>
      <c r="C782" t="s">
        <v>24</v>
      </c>
      <c r="D782" t="s">
        <v>28</v>
      </c>
      <c r="E782" t="s">
        <v>39</v>
      </c>
      <c r="F782" t="s">
        <v>44</v>
      </c>
      <c r="G782" t="s">
        <v>45</v>
      </c>
      <c r="H782">
        <v>6253.34</v>
      </c>
      <c r="I782">
        <v>5804.15</v>
      </c>
      <c r="J782">
        <v>-449.19000000000051</v>
      </c>
      <c r="K782" s="1">
        <v>-7.1832012972267698</v>
      </c>
      <c r="L782" t="s">
        <v>55</v>
      </c>
    </row>
    <row r="783" spans="1:12" x14ac:dyDescent="0.3">
      <c r="A783" t="s">
        <v>19</v>
      </c>
      <c r="B783" s="7">
        <v>45962</v>
      </c>
      <c r="C783" t="s">
        <v>24</v>
      </c>
      <c r="D783" t="s">
        <v>28</v>
      </c>
      <c r="E783" t="s">
        <v>39</v>
      </c>
      <c r="F783" t="s">
        <v>44</v>
      </c>
      <c r="G783" t="s">
        <v>46</v>
      </c>
      <c r="H783">
        <v>10964.84</v>
      </c>
      <c r="I783">
        <v>10314.469999999999</v>
      </c>
      <c r="J783">
        <v>-650.3700000000008</v>
      </c>
      <c r="K783" s="1">
        <v>-5.9314134998777979</v>
      </c>
      <c r="L783" t="s">
        <v>55</v>
      </c>
    </row>
    <row r="784" spans="1:12" x14ac:dyDescent="0.3">
      <c r="A784" t="s">
        <v>19</v>
      </c>
      <c r="B784" s="7">
        <v>45962</v>
      </c>
      <c r="C784" t="s">
        <v>24</v>
      </c>
      <c r="D784" t="s">
        <v>28</v>
      </c>
      <c r="E784" t="s">
        <v>39</v>
      </c>
      <c r="F784" t="s">
        <v>44</v>
      </c>
      <c r="G784" t="s">
        <v>47</v>
      </c>
      <c r="H784">
        <v>22384.23</v>
      </c>
      <c r="I784">
        <v>22156.67</v>
      </c>
      <c r="J784">
        <v>-227.56000000000131</v>
      </c>
      <c r="K784" s="1">
        <v>-1.0166085677282681</v>
      </c>
      <c r="L784" t="s">
        <v>55</v>
      </c>
    </row>
    <row r="785" spans="1:12" x14ac:dyDescent="0.3">
      <c r="A785" t="s">
        <v>19</v>
      </c>
      <c r="B785" s="7">
        <v>45962</v>
      </c>
      <c r="C785" t="s">
        <v>24</v>
      </c>
      <c r="D785" t="s">
        <v>28</v>
      </c>
      <c r="E785" t="s">
        <v>39</v>
      </c>
      <c r="F785" t="s">
        <v>44</v>
      </c>
      <c r="G785" t="s">
        <v>48</v>
      </c>
      <c r="H785">
        <v>8053.71</v>
      </c>
      <c r="I785">
        <v>7099.56</v>
      </c>
      <c r="J785">
        <v>-954.14999999999964</v>
      </c>
      <c r="K785" s="1">
        <v>-11.847334954946225</v>
      </c>
      <c r="L785" t="s">
        <v>55</v>
      </c>
    </row>
    <row r="786" spans="1:12" x14ac:dyDescent="0.3">
      <c r="A786" t="s">
        <v>19</v>
      </c>
      <c r="B786" s="7">
        <v>45962</v>
      </c>
      <c r="C786" t="s">
        <v>24</v>
      </c>
      <c r="D786" t="s">
        <v>28</v>
      </c>
      <c r="E786" t="s">
        <v>39</v>
      </c>
      <c r="F786" t="s">
        <v>44</v>
      </c>
      <c r="G786" t="s">
        <v>49</v>
      </c>
      <c r="H786">
        <v>3935.1</v>
      </c>
      <c r="I786">
        <v>3931.5</v>
      </c>
      <c r="J786">
        <v>-3.5999999999999091</v>
      </c>
      <c r="K786" s="1">
        <v>-9.1484333307918705E-2</v>
      </c>
      <c r="L786" t="s">
        <v>55</v>
      </c>
    </row>
    <row r="787" spans="1:12" x14ac:dyDescent="0.3">
      <c r="A787" t="s">
        <v>19</v>
      </c>
      <c r="B787" s="7">
        <v>45962</v>
      </c>
      <c r="C787" t="s">
        <v>24</v>
      </c>
      <c r="D787" t="s">
        <v>28</v>
      </c>
      <c r="E787" t="s">
        <v>39</v>
      </c>
      <c r="F787" t="s">
        <v>44</v>
      </c>
      <c r="G787" t="s">
        <v>51</v>
      </c>
      <c r="H787">
        <v>6611.79</v>
      </c>
      <c r="I787">
        <v>5986.61</v>
      </c>
      <c r="J787">
        <v>-625.18000000000029</v>
      </c>
      <c r="K787" s="1">
        <v>-9.455533221714548</v>
      </c>
      <c r="L787" t="s">
        <v>55</v>
      </c>
    </row>
    <row r="788" spans="1:12" x14ac:dyDescent="0.3">
      <c r="A788" t="s">
        <v>19</v>
      </c>
      <c r="B788" s="7">
        <v>45962</v>
      </c>
      <c r="C788" t="s">
        <v>24</v>
      </c>
      <c r="D788" t="s">
        <v>28</v>
      </c>
      <c r="E788" t="s">
        <v>40</v>
      </c>
      <c r="F788" t="s">
        <v>43</v>
      </c>
      <c r="G788" t="s">
        <v>45</v>
      </c>
      <c r="H788">
        <v>7748.81</v>
      </c>
      <c r="I788">
        <v>8792.75</v>
      </c>
      <c r="J788">
        <v>1043.9399999999996</v>
      </c>
      <c r="K788" s="1">
        <v>13.472262192517299</v>
      </c>
      <c r="L788" t="s">
        <v>55</v>
      </c>
    </row>
    <row r="789" spans="1:12" x14ac:dyDescent="0.3">
      <c r="A789" t="s">
        <v>19</v>
      </c>
      <c r="B789" s="7">
        <v>45962</v>
      </c>
      <c r="C789" t="s">
        <v>24</v>
      </c>
      <c r="D789" t="s">
        <v>28</v>
      </c>
      <c r="E789" t="s">
        <v>40</v>
      </c>
      <c r="F789" t="s">
        <v>43</v>
      </c>
      <c r="G789" t="s">
        <v>46</v>
      </c>
      <c r="H789">
        <v>7920.39</v>
      </c>
      <c r="I789">
        <v>6982.51</v>
      </c>
      <c r="J789">
        <v>-937.88000000000011</v>
      </c>
      <c r="K789" s="1">
        <v>-11.841336095823566</v>
      </c>
      <c r="L789" t="s">
        <v>55</v>
      </c>
    </row>
    <row r="790" spans="1:12" x14ac:dyDescent="0.3">
      <c r="A790" t="s">
        <v>19</v>
      </c>
      <c r="B790" s="7">
        <v>45962</v>
      </c>
      <c r="C790" t="s">
        <v>24</v>
      </c>
      <c r="D790" t="s">
        <v>28</v>
      </c>
      <c r="E790" t="s">
        <v>40</v>
      </c>
      <c r="F790" t="s">
        <v>43</v>
      </c>
      <c r="G790" t="s">
        <v>47</v>
      </c>
      <c r="H790">
        <v>13755.3</v>
      </c>
      <c r="I790">
        <v>14606.07</v>
      </c>
      <c r="J790">
        <v>850.77000000000044</v>
      </c>
      <c r="K790" s="1">
        <v>6.1850341322980995</v>
      </c>
      <c r="L790" t="s">
        <v>55</v>
      </c>
    </row>
    <row r="791" spans="1:12" x14ac:dyDescent="0.3">
      <c r="A791" t="s">
        <v>19</v>
      </c>
      <c r="B791" s="7">
        <v>45962</v>
      </c>
      <c r="C791" t="s">
        <v>24</v>
      </c>
      <c r="D791" t="s">
        <v>28</v>
      </c>
      <c r="E791" t="s">
        <v>40</v>
      </c>
      <c r="F791" t="s">
        <v>43</v>
      </c>
      <c r="G791" t="s">
        <v>48</v>
      </c>
      <c r="H791">
        <v>7799.79</v>
      </c>
      <c r="I791">
        <v>8036.99</v>
      </c>
      <c r="J791">
        <v>237.19999999999982</v>
      </c>
      <c r="K791" s="1">
        <v>3.0411075169972501</v>
      </c>
      <c r="L791" t="s">
        <v>55</v>
      </c>
    </row>
    <row r="792" spans="1:12" x14ac:dyDescent="0.3">
      <c r="A792" t="s">
        <v>19</v>
      </c>
      <c r="B792" s="7">
        <v>45962</v>
      </c>
      <c r="C792" t="s">
        <v>24</v>
      </c>
      <c r="D792" t="s">
        <v>28</v>
      </c>
      <c r="E792" t="s">
        <v>40</v>
      </c>
      <c r="F792" t="s">
        <v>43</v>
      </c>
      <c r="G792" t="s">
        <v>49</v>
      </c>
      <c r="H792">
        <v>3112.09</v>
      </c>
      <c r="I792">
        <v>3046.73</v>
      </c>
      <c r="J792">
        <v>-65.360000000000127</v>
      </c>
      <c r="K792" s="1">
        <v>-2.1001963310829739</v>
      </c>
      <c r="L792" t="s">
        <v>55</v>
      </c>
    </row>
    <row r="793" spans="1:12" x14ac:dyDescent="0.3">
      <c r="A793" t="s">
        <v>19</v>
      </c>
      <c r="B793" s="7">
        <v>45962</v>
      </c>
      <c r="C793" t="s">
        <v>24</v>
      </c>
      <c r="D793" t="s">
        <v>28</v>
      </c>
      <c r="E793" t="s">
        <v>40</v>
      </c>
      <c r="F793" t="s">
        <v>43</v>
      </c>
      <c r="G793" t="s">
        <v>51</v>
      </c>
      <c r="H793">
        <v>6640.11</v>
      </c>
      <c r="I793">
        <v>6732.63</v>
      </c>
      <c r="J793">
        <v>92.520000000000437</v>
      </c>
      <c r="K793" s="1">
        <v>1.3933504113636739</v>
      </c>
      <c r="L793" t="s">
        <v>55</v>
      </c>
    </row>
    <row r="794" spans="1:12" x14ac:dyDescent="0.3">
      <c r="A794" t="s">
        <v>20</v>
      </c>
      <c r="B794" s="7">
        <v>45992</v>
      </c>
      <c r="C794" t="s">
        <v>21</v>
      </c>
      <c r="D794" t="s">
        <v>25</v>
      </c>
      <c r="E794" t="s">
        <v>29</v>
      </c>
      <c r="F794" t="s">
        <v>41</v>
      </c>
      <c r="G794" t="s">
        <v>45</v>
      </c>
      <c r="H794">
        <v>8727.36</v>
      </c>
      <c r="I794">
        <v>7811.21</v>
      </c>
      <c r="J794">
        <v>-916.15000000000055</v>
      </c>
      <c r="K794" s="1">
        <v>-10.49744710886225</v>
      </c>
      <c r="L794" t="s">
        <v>55</v>
      </c>
    </row>
    <row r="795" spans="1:12" x14ac:dyDescent="0.3">
      <c r="A795" t="s">
        <v>20</v>
      </c>
      <c r="B795" s="7">
        <v>45992</v>
      </c>
      <c r="C795" t="s">
        <v>21</v>
      </c>
      <c r="D795" t="s">
        <v>25</v>
      </c>
      <c r="E795" t="s">
        <v>29</v>
      </c>
      <c r="F795" t="s">
        <v>41</v>
      </c>
      <c r="G795" t="s">
        <v>46</v>
      </c>
      <c r="H795">
        <v>10503.78</v>
      </c>
      <c r="I795">
        <v>10329.68</v>
      </c>
      <c r="J795">
        <v>-174.10000000000036</v>
      </c>
      <c r="K795" s="1">
        <v>-1.6574985386213377</v>
      </c>
      <c r="L795" t="s">
        <v>55</v>
      </c>
    </row>
    <row r="796" spans="1:12" x14ac:dyDescent="0.3">
      <c r="A796" t="s">
        <v>20</v>
      </c>
      <c r="B796" s="7">
        <v>45992</v>
      </c>
      <c r="C796" t="s">
        <v>21</v>
      </c>
      <c r="D796" t="s">
        <v>25</v>
      </c>
      <c r="E796" t="s">
        <v>29</v>
      </c>
      <c r="F796" t="s">
        <v>41</v>
      </c>
      <c r="G796" t="s">
        <v>47</v>
      </c>
      <c r="H796">
        <v>18124.560000000001</v>
      </c>
      <c r="I796">
        <v>19697.900000000001</v>
      </c>
      <c r="J796">
        <v>1573.3400000000001</v>
      </c>
      <c r="K796" s="1">
        <v>8.6807072833768117</v>
      </c>
      <c r="L796" t="s">
        <v>55</v>
      </c>
    </row>
    <row r="797" spans="1:12" x14ac:dyDescent="0.3">
      <c r="A797" t="s">
        <v>20</v>
      </c>
      <c r="B797" s="7">
        <v>45992</v>
      </c>
      <c r="C797" t="s">
        <v>21</v>
      </c>
      <c r="D797" t="s">
        <v>25</v>
      </c>
      <c r="E797" t="s">
        <v>29</v>
      </c>
      <c r="F797" t="s">
        <v>41</v>
      </c>
      <c r="G797" t="s">
        <v>48</v>
      </c>
      <c r="H797">
        <v>8158.23</v>
      </c>
      <c r="I797">
        <v>9603.17</v>
      </c>
      <c r="J797">
        <v>1444.9400000000005</v>
      </c>
      <c r="K797" s="1">
        <v>17.711439858890969</v>
      </c>
      <c r="L797" t="s">
        <v>55</v>
      </c>
    </row>
    <row r="798" spans="1:12" x14ac:dyDescent="0.3">
      <c r="A798" t="s">
        <v>20</v>
      </c>
      <c r="B798" s="7">
        <v>45992</v>
      </c>
      <c r="C798" t="s">
        <v>21</v>
      </c>
      <c r="D798" t="s">
        <v>25</v>
      </c>
      <c r="E798" t="s">
        <v>29</v>
      </c>
      <c r="F798" t="s">
        <v>41</v>
      </c>
      <c r="G798" t="s">
        <v>49</v>
      </c>
      <c r="H798">
        <v>2894.63</v>
      </c>
      <c r="I798">
        <v>2559.88</v>
      </c>
      <c r="J798">
        <v>-334.75</v>
      </c>
      <c r="K798" s="1">
        <v>-11.564517744927675</v>
      </c>
      <c r="L798" t="s">
        <v>55</v>
      </c>
    </row>
    <row r="799" spans="1:12" x14ac:dyDescent="0.3">
      <c r="A799" t="s">
        <v>20</v>
      </c>
      <c r="B799" s="7">
        <v>45992</v>
      </c>
      <c r="C799" t="s">
        <v>21</v>
      </c>
      <c r="D799" t="s">
        <v>25</v>
      </c>
      <c r="E799" t="s">
        <v>29</v>
      </c>
      <c r="F799" t="s">
        <v>41</v>
      </c>
      <c r="G799" t="s">
        <v>51</v>
      </c>
      <c r="H799">
        <v>7107.62</v>
      </c>
      <c r="I799">
        <v>7398.09</v>
      </c>
      <c r="J799">
        <v>290.47000000000025</v>
      </c>
      <c r="K799" s="1">
        <v>4.0867407092669596</v>
      </c>
      <c r="L799" t="s">
        <v>55</v>
      </c>
    </row>
    <row r="800" spans="1:12" x14ac:dyDescent="0.3">
      <c r="A800" t="s">
        <v>20</v>
      </c>
      <c r="B800" s="7">
        <v>45992</v>
      </c>
      <c r="C800" t="s">
        <v>21</v>
      </c>
      <c r="D800" t="s">
        <v>25</v>
      </c>
      <c r="E800" t="s">
        <v>30</v>
      </c>
      <c r="F800" t="s">
        <v>42</v>
      </c>
      <c r="G800" t="s">
        <v>45</v>
      </c>
      <c r="H800">
        <v>5944.23</v>
      </c>
      <c r="I800">
        <v>5208.38</v>
      </c>
      <c r="J800">
        <v>-735.84999999999945</v>
      </c>
      <c r="K800" s="1">
        <v>-12.379231624617477</v>
      </c>
      <c r="L800" t="s">
        <v>55</v>
      </c>
    </row>
    <row r="801" spans="1:12" x14ac:dyDescent="0.3">
      <c r="A801" t="s">
        <v>20</v>
      </c>
      <c r="B801" s="7">
        <v>45992</v>
      </c>
      <c r="C801" t="s">
        <v>21</v>
      </c>
      <c r="D801" t="s">
        <v>25</v>
      </c>
      <c r="E801" t="s">
        <v>30</v>
      </c>
      <c r="F801" t="s">
        <v>42</v>
      </c>
      <c r="G801" t="s">
        <v>46</v>
      </c>
      <c r="H801">
        <v>7212.55</v>
      </c>
      <c r="I801">
        <v>8258.9699999999993</v>
      </c>
      <c r="J801">
        <v>1046.4199999999992</v>
      </c>
      <c r="K801" s="1">
        <v>14.508322299325469</v>
      </c>
      <c r="L801" t="s">
        <v>55</v>
      </c>
    </row>
    <row r="802" spans="1:12" x14ac:dyDescent="0.3">
      <c r="A802" t="s">
        <v>20</v>
      </c>
      <c r="B802" s="7">
        <v>45992</v>
      </c>
      <c r="C802" t="s">
        <v>21</v>
      </c>
      <c r="D802" t="s">
        <v>25</v>
      </c>
      <c r="E802" t="s">
        <v>30</v>
      </c>
      <c r="F802" t="s">
        <v>42</v>
      </c>
      <c r="G802" t="s">
        <v>47</v>
      </c>
      <c r="H802">
        <v>15572.17</v>
      </c>
      <c r="I802">
        <v>14898.09</v>
      </c>
      <c r="J802">
        <v>-674.07999999999993</v>
      </c>
      <c r="K802" s="1">
        <v>-4.3287480164935266</v>
      </c>
      <c r="L802" t="s">
        <v>55</v>
      </c>
    </row>
    <row r="803" spans="1:12" x14ac:dyDescent="0.3">
      <c r="A803" t="s">
        <v>20</v>
      </c>
      <c r="B803" s="7">
        <v>45992</v>
      </c>
      <c r="C803" t="s">
        <v>21</v>
      </c>
      <c r="D803" t="s">
        <v>25</v>
      </c>
      <c r="E803" t="s">
        <v>30</v>
      </c>
      <c r="F803" t="s">
        <v>42</v>
      </c>
      <c r="G803" t="s">
        <v>48</v>
      </c>
      <c r="H803">
        <v>6201.96</v>
      </c>
      <c r="I803">
        <v>5998.22</v>
      </c>
      <c r="J803">
        <v>-203.73999999999978</v>
      </c>
      <c r="K803" s="1">
        <v>-3.2850905197711651</v>
      </c>
      <c r="L803" t="s">
        <v>55</v>
      </c>
    </row>
    <row r="804" spans="1:12" x14ac:dyDescent="0.3">
      <c r="A804" t="s">
        <v>20</v>
      </c>
      <c r="B804" s="7">
        <v>45992</v>
      </c>
      <c r="C804" t="s">
        <v>21</v>
      </c>
      <c r="D804" t="s">
        <v>25</v>
      </c>
      <c r="E804" t="s">
        <v>30</v>
      </c>
      <c r="F804" t="s">
        <v>42</v>
      </c>
      <c r="G804" t="s">
        <v>49</v>
      </c>
      <c r="H804">
        <v>2770.79</v>
      </c>
      <c r="I804">
        <v>2829.78</v>
      </c>
      <c r="J804">
        <v>58.990000000000236</v>
      </c>
      <c r="K804" s="1">
        <v>2.1289957015869208</v>
      </c>
      <c r="L804" t="s">
        <v>55</v>
      </c>
    </row>
    <row r="805" spans="1:12" x14ac:dyDescent="0.3">
      <c r="A805" t="s">
        <v>20</v>
      </c>
      <c r="B805" s="7">
        <v>45992</v>
      </c>
      <c r="C805" t="s">
        <v>21</v>
      </c>
      <c r="D805" t="s">
        <v>25</v>
      </c>
      <c r="E805" t="s">
        <v>30</v>
      </c>
      <c r="F805" t="s">
        <v>42</v>
      </c>
      <c r="G805" t="s">
        <v>51</v>
      </c>
      <c r="H805">
        <v>4743.41</v>
      </c>
      <c r="I805">
        <v>5284.71</v>
      </c>
      <c r="J805">
        <v>541.30000000000018</v>
      </c>
      <c r="K805" s="1">
        <v>11.411621597121064</v>
      </c>
      <c r="L805" t="s">
        <v>55</v>
      </c>
    </row>
    <row r="806" spans="1:12" x14ac:dyDescent="0.3">
      <c r="A806" t="s">
        <v>20</v>
      </c>
      <c r="B806" s="7">
        <v>45992</v>
      </c>
      <c r="C806" t="s">
        <v>21</v>
      </c>
      <c r="D806" t="s">
        <v>25</v>
      </c>
      <c r="E806" t="s">
        <v>31</v>
      </c>
      <c r="F806" t="s">
        <v>43</v>
      </c>
      <c r="G806" t="s">
        <v>45</v>
      </c>
      <c r="H806">
        <v>5786.48</v>
      </c>
      <c r="I806">
        <v>5949.68</v>
      </c>
      <c r="J806">
        <v>163.20000000000073</v>
      </c>
      <c r="K806" s="1">
        <v>2.820367477291907</v>
      </c>
      <c r="L806" t="s">
        <v>55</v>
      </c>
    </row>
    <row r="807" spans="1:12" x14ac:dyDescent="0.3">
      <c r="A807" t="s">
        <v>20</v>
      </c>
      <c r="B807" s="7">
        <v>45992</v>
      </c>
      <c r="C807" t="s">
        <v>21</v>
      </c>
      <c r="D807" t="s">
        <v>25</v>
      </c>
      <c r="E807" t="s">
        <v>31</v>
      </c>
      <c r="F807" t="s">
        <v>43</v>
      </c>
      <c r="G807" t="s">
        <v>46</v>
      </c>
      <c r="H807">
        <v>11502.43</v>
      </c>
      <c r="I807">
        <v>12247.66</v>
      </c>
      <c r="J807">
        <v>745.22999999999956</v>
      </c>
      <c r="K807" s="1">
        <v>6.4788918515478873</v>
      </c>
      <c r="L807" t="s">
        <v>55</v>
      </c>
    </row>
    <row r="808" spans="1:12" x14ac:dyDescent="0.3">
      <c r="A808" t="s">
        <v>20</v>
      </c>
      <c r="B808" s="7">
        <v>45992</v>
      </c>
      <c r="C808" t="s">
        <v>21</v>
      </c>
      <c r="D808" t="s">
        <v>25</v>
      </c>
      <c r="E808" t="s">
        <v>31</v>
      </c>
      <c r="F808" t="s">
        <v>43</v>
      </c>
      <c r="G808" t="s">
        <v>47</v>
      </c>
      <c r="H808">
        <v>19255.939999999999</v>
      </c>
      <c r="I808">
        <v>18428.52</v>
      </c>
      <c r="J808">
        <v>-827.41999999999825</v>
      </c>
      <c r="K808" s="1">
        <v>-4.2969597952631675</v>
      </c>
      <c r="L808" t="s">
        <v>55</v>
      </c>
    </row>
    <row r="809" spans="1:12" x14ac:dyDescent="0.3">
      <c r="A809" t="s">
        <v>20</v>
      </c>
      <c r="B809" s="7">
        <v>45992</v>
      </c>
      <c r="C809" t="s">
        <v>21</v>
      </c>
      <c r="D809" t="s">
        <v>25</v>
      </c>
      <c r="E809" t="s">
        <v>31</v>
      </c>
      <c r="F809" t="s">
        <v>43</v>
      </c>
      <c r="G809" t="s">
        <v>48</v>
      </c>
      <c r="H809">
        <v>6648.61</v>
      </c>
      <c r="I809">
        <v>7120.2</v>
      </c>
      <c r="J809">
        <v>471.59000000000015</v>
      </c>
      <c r="K809" s="1">
        <v>7.0930615572277533</v>
      </c>
      <c r="L809" t="s">
        <v>55</v>
      </c>
    </row>
    <row r="810" spans="1:12" x14ac:dyDescent="0.3">
      <c r="A810" t="s">
        <v>20</v>
      </c>
      <c r="B810" s="7">
        <v>45992</v>
      </c>
      <c r="C810" t="s">
        <v>21</v>
      </c>
      <c r="D810" t="s">
        <v>25</v>
      </c>
      <c r="E810" t="s">
        <v>31</v>
      </c>
      <c r="F810" t="s">
        <v>43</v>
      </c>
      <c r="G810" t="s">
        <v>49</v>
      </c>
      <c r="H810">
        <v>4712.6899999999996</v>
      </c>
      <c r="I810">
        <v>5035.07</v>
      </c>
      <c r="J810">
        <v>322.38000000000011</v>
      </c>
      <c r="K810" s="1">
        <v>6.8406791025932137</v>
      </c>
      <c r="L810" t="s">
        <v>55</v>
      </c>
    </row>
    <row r="811" spans="1:12" x14ac:dyDescent="0.3">
      <c r="A811" t="s">
        <v>20</v>
      </c>
      <c r="B811" s="7">
        <v>45992</v>
      </c>
      <c r="C811" t="s">
        <v>21</v>
      </c>
      <c r="D811" t="s">
        <v>25</v>
      </c>
      <c r="E811" t="s">
        <v>31</v>
      </c>
      <c r="F811" t="s">
        <v>43</v>
      </c>
      <c r="G811" t="s">
        <v>51</v>
      </c>
      <c r="H811">
        <v>6508.02</v>
      </c>
      <c r="I811">
        <v>7101</v>
      </c>
      <c r="J811">
        <v>592.97999999999956</v>
      </c>
      <c r="K811" s="1">
        <v>9.1115270082144715</v>
      </c>
      <c r="L811" t="s">
        <v>55</v>
      </c>
    </row>
    <row r="812" spans="1:12" x14ac:dyDescent="0.3">
      <c r="A812" t="s">
        <v>20</v>
      </c>
      <c r="B812" s="7">
        <v>45992</v>
      </c>
      <c r="C812" t="s">
        <v>22</v>
      </c>
      <c r="D812" t="s">
        <v>26</v>
      </c>
      <c r="E812" t="s">
        <v>32</v>
      </c>
      <c r="F812" t="s">
        <v>41</v>
      </c>
      <c r="G812" t="s">
        <v>45</v>
      </c>
      <c r="H812">
        <v>6689.3</v>
      </c>
      <c r="I812">
        <v>5818.67</v>
      </c>
      <c r="J812">
        <v>-870.63000000000011</v>
      </c>
      <c r="K812" s="1">
        <v>-13.015263181498812</v>
      </c>
      <c r="L812" t="s">
        <v>55</v>
      </c>
    </row>
    <row r="813" spans="1:12" x14ac:dyDescent="0.3">
      <c r="A813" t="s">
        <v>20</v>
      </c>
      <c r="B813" s="7">
        <v>45992</v>
      </c>
      <c r="C813" t="s">
        <v>22</v>
      </c>
      <c r="D813" t="s">
        <v>26</v>
      </c>
      <c r="E813" t="s">
        <v>32</v>
      </c>
      <c r="F813" t="s">
        <v>41</v>
      </c>
      <c r="G813" t="s">
        <v>46</v>
      </c>
      <c r="H813">
        <v>9786.4</v>
      </c>
      <c r="I813">
        <v>11411.11</v>
      </c>
      <c r="J813">
        <v>1624.7100000000009</v>
      </c>
      <c r="K813" s="1">
        <v>16.601712580724282</v>
      </c>
      <c r="L813" t="s">
        <v>55</v>
      </c>
    </row>
    <row r="814" spans="1:12" x14ac:dyDescent="0.3">
      <c r="A814" t="s">
        <v>20</v>
      </c>
      <c r="B814" s="7">
        <v>45992</v>
      </c>
      <c r="C814" t="s">
        <v>22</v>
      </c>
      <c r="D814" t="s">
        <v>26</v>
      </c>
      <c r="E814" t="s">
        <v>32</v>
      </c>
      <c r="F814" t="s">
        <v>41</v>
      </c>
      <c r="G814" t="s">
        <v>47</v>
      </c>
      <c r="H814">
        <v>15393.27</v>
      </c>
      <c r="I814">
        <v>16589.349999999999</v>
      </c>
      <c r="J814">
        <v>1196.0799999999981</v>
      </c>
      <c r="K814" s="1">
        <v>7.7701489027347543</v>
      </c>
      <c r="L814" t="s">
        <v>55</v>
      </c>
    </row>
    <row r="815" spans="1:12" x14ac:dyDescent="0.3">
      <c r="A815" t="s">
        <v>20</v>
      </c>
      <c r="B815" s="7">
        <v>45992</v>
      </c>
      <c r="C815" t="s">
        <v>22</v>
      </c>
      <c r="D815" t="s">
        <v>26</v>
      </c>
      <c r="E815" t="s">
        <v>32</v>
      </c>
      <c r="F815" t="s">
        <v>41</v>
      </c>
      <c r="G815" t="s">
        <v>48</v>
      </c>
      <c r="H815">
        <v>6093.92</v>
      </c>
      <c r="I815">
        <v>6257.38</v>
      </c>
      <c r="J815">
        <v>163.46000000000004</v>
      </c>
      <c r="K815" s="1">
        <v>2.6823456822537879</v>
      </c>
      <c r="L815" t="s">
        <v>55</v>
      </c>
    </row>
    <row r="816" spans="1:12" x14ac:dyDescent="0.3">
      <c r="A816" t="s">
        <v>20</v>
      </c>
      <c r="B816" s="7">
        <v>45992</v>
      </c>
      <c r="C816" t="s">
        <v>22</v>
      </c>
      <c r="D816" t="s">
        <v>26</v>
      </c>
      <c r="E816" t="s">
        <v>32</v>
      </c>
      <c r="F816" t="s">
        <v>41</v>
      </c>
      <c r="G816" t="s">
        <v>49</v>
      </c>
      <c r="H816">
        <v>2828.02</v>
      </c>
      <c r="I816">
        <v>2824.12</v>
      </c>
      <c r="J816">
        <v>-3.9000000000000909</v>
      </c>
      <c r="K816" s="1">
        <v>-0.13790567251999952</v>
      </c>
      <c r="L816" t="s">
        <v>55</v>
      </c>
    </row>
    <row r="817" spans="1:12" x14ac:dyDescent="0.3">
      <c r="A817" t="s">
        <v>20</v>
      </c>
      <c r="B817" s="7">
        <v>45992</v>
      </c>
      <c r="C817" t="s">
        <v>22</v>
      </c>
      <c r="D817" t="s">
        <v>26</v>
      </c>
      <c r="E817" t="s">
        <v>32</v>
      </c>
      <c r="F817" t="s">
        <v>41</v>
      </c>
      <c r="G817" t="s">
        <v>51</v>
      </c>
      <c r="H817">
        <v>7222.19</v>
      </c>
      <c r="I817">
        <v>6967.23</v>
      </c>
      <c r="J817">
        <v>-254.96000000000004</v>
      </c>
      <c r="K817" s="1">
        <v>-3.5302311348773716</v>
      </c>
      <c r="L817" t="s">
        <v>55</v>
      </c>
    </row>
    <row r="818" spans="1:12" x14ac:dyDescent="0.3">
      <c r="A818" t="s">
        <v>20</v>
      </c>
      <c r="B818" s="7">
        <v>45992</v>
      </c>
      <c r="C818" t="s">
        <v>22</v>
      </c>
      <c r="D818" t="s">
        <v>26</v>
      </c>
      <c r="E818" t="s">
        <v>33</v>
      </c>
      <c r="F818" t="s">
        <v>42</v>
      </c>
      <c r="G818" t="s">
        <v>45</v>
      </c>
      <c r="H818">
        <v>7468.16</v>
      </c>
      <c r="I818">
        <v>8308.31</v>
      </c>
      <c r="J818">
        <v>840.14999999999964</v>
      </c>
      <c r="K818" s="1">
        <v>11.249758976776068</v>
      </c>
      <c r="L818" t="s">
        <v>55</v>
      </c>
    </row>
    <row r="819" spans="1:12" x14ac:dyDescent="0.3">
      <c r="A819" t="s">
        <v>20</v>
      </c>
      <c r="B819" s="7">
        <v>45992</v>
      </c>
      <c r="C819" t="s">
        <v>22</v>
      </c>
      <c r="D819" t="s">
        <v>26</v>
      </c>
      <c r="E819" t="s">
        <v>33</v>
      </c>
      <c r="F819" t="s">
        <v>42</v>
      </c>
      <c r="G819" t="s">
        <v>46</v>
      </c>
      <c r="H819">
        <v>11756.76</v>
      </c>
      <c r="I819">
        <v>10903.59</v>
      </c>
      <c r="J819">
        <v>-853.17000000000007</v>
      </c>
      <c r="K819" s="1">
        <v>-7.2568462739734425</v>
      </c>
      <c r="L819" t="s">
        <v>55</v>
      </c>
    </row>
    <row r="820" spans="1:12" x14ac:dyDescent="0.3">
      <c r="A820" t="s">
        <v>20</v>
      </c>
      <c r="B820" s="7">
        <v>45992</v>
      </c>
      <c r="C820" t="s">
        <v>22</v>
      </c>
      <c r="D820" t="s">
        <v>26</v>
      </c>
      <c r="E820" t="s">
        <v>33</v>
      </c>
      <c r="F820" t="s">
        <v>42</v>
      </c>
      <c r="G820" t="s">
        <v>47</v>
      </c>
      <c r="H820">
        <v>17812.61</v>
      </c>
      <c r="I820">
        <v>16036.65</v>
      </c>
      <c r="J820">
        <v>-1775.9600000000009</v>
      </c>
      <c r="K820" s="1">
        <v>-9.9702401837799233</v>
      </c>
      <c r="L820" t="s">
        <v>55</v>
      </c>
    </row>
    <row r="821" spans="1:12" x14ac:dyDescent="0.3">
      <c r="A821" t="s">
        <v>20</v>
      </c>
      <c r="B821" s="7">
        <v>45992</v>
      </c>
      <c r="C821" t="s">
        <v>22</v>
      </c>
      <c r="D821" t="s">
        <v>26</v>
      </c>
      <c r="E821" t="s">
        <v>33</v>
      </c>
      <c r="F821" t="s">
        <v>42</v>
      </c>
      <c r="G821" t="s">
        <v>48</v>
      </c>
      <c r="H821">
        <v>9418.43</v>
      </c>
      <c r="I821">
        <v>10886.86</v>
      </c>
      <c r="J821">
        <v>1468.4300000000003</v>
      </c>
      <c r="K821" s="1">
        <v>15.591027379297826</v>
      </c>
      <c r="L821" t="s">
        <v>55</v>
      </c>
    </row>
    <row r="822" spans="1:12" x14ac:dyDescent="0.3">
      <c r="A822" t="s">
        <v>20</v>
      </c>
      <c r="B822" s="7">
        <v>45992</v>
      </c>
      <c r="C822" t="s">
        <v>22</v>
      </c>
      <c r="D822" t="s">
        <v>26</v>
      </c>
      <c r="E822" t="s">
        <v>33</v>
      </c>
      <c r="F822" t="s">
        <v>42</v>
      </c>
      <c r="G822" t="s">
        <v>49</v>
      </c>
      <c r="H822">
        <v>3758.91</v>
      </c>
      <c r="I822">
        <v>4239.57</v>
      </c>
      <c r="J822">
        <v>480.65999999999985</v>
      </c>
      <c r="K822" s="1">
        <v>12.78721757105118</v>
      </c>
      <c r="L822" t="s">
        <v>55</v>
      </c>
    </row>
    <row r="823" spans="1:12" x14ac:dyDescent="0.3">
      <c r="A823" t="s">
        <v>20</v>
      </c>
      <c r="B823" s="7">
        <v>45992</v>
      </c>
      <c r="C823" t="s">
        <v>22</v>
      </c>
      <c r="D823" t="s">
        <v>26</v>
      </c>
      <c r="E823" t="s">
        <v>33</v>
      </c>
      <c r="F823" t="s">
        <v>42</v>
      </c>
      <c r="G823" t="s">
        <v>51</v>
      </c>
      <c r="H823">
        <v>6375.45</v>
      </c>
      <c r="I823">
        <v>6731.09</v>
      </c>
      <c r="J823">
        <v>355.64000000000033</v>
      </c>
      <c r="K823" s="1">
        <v>5.578272906226232</v>
      </c>
      <c r="L823" t="s">
        <v>55</v>
      </c>
    </row>
    <row r="824" spans="1:12" x14ac:dyDescent="0.3">
      <c r="A824" t="s">
        <v>20</v>
      </c>
      <c r="B824" s="7">
        <v>45992</v>
      </c>
      <c r="C824" t="s">
        <v>22</v>
      </c>
      <c r="D824" t="s">
        <v>26</v>
      </c>
      <c r="E824" t="s">
        <v>34</v>
      </c>
      <c r="F824" t="s">
        <v>43</v>
      </c>
      <c r="G824" t="s">
        <v>45</v>
      </c>
      <c r="H824">
        <v>5222.59</v>
      </c>
      <c r="I824">
        <v>5740.87</v>
      </c>
      <c r="J824">
        <v>518.27999999999975</v>
      </c>
      <c r="K824" s="1">
        <v>9.9238117485768509</v>
      </c>
      <c r="L824" t="s">
        <v>55</v>
      </c>
    </row>
    <row r="825" spans="1:12" x14ac:dyDescent="0.3">
      <c r="A825" t="s">
        <v>20</v>
      </c>
      <c r="B825" s="7">
        <v>45992</v>
      </c>
      <c r="C825" t="s">
        <v>22</v>
      </c>
      <c r="D825" t="s">
        <v>26</v>
      </c>
      <c r="E825" t="s">
        <v>34</v>
      </c>
      <c r="F825" t="s">
        <v>43</v>
      </c>
      <c r="G825" t="s">
        <v>46</v>
      </c>
      <c r="H825">
        <v>7439.65</v>
      </c>
      <c r="I825">
        <v>8351.77</v>
      </c>
      <c r="J825">
        <v>912.1200000000008</v>
      </c>
      <c r="K825" s="1">
        <v>12.260254178624006</v>
      </c>
      <c r="L825" t="s">
        <v>55</v>
      </c>
    </row>
    <row r="826" spans="1:12" x14ac:dyDescent="0.3">
      <c r="A826" t="s">
        <v>20</v>
      </c>
      <c r="B826" s="7">
        <v>45992</v>
      </c>
      <c r="C826" t="s">
        <v>22</v>
      </c>
      <c r="D826" t="s">
        <v>26</v>
      </c>
      <c r="E826" t="s">
        <v>34</v>
      </c>
      <c r="F826" t="s">
        <v>43</v>
      </c>
      <c r="G826" t="s">
        <v>47</v>
      </c>
      <c r="H826">
        <v>21945.9</v>
      </c>
      <c r="I826">
        <v>23786.85</v>
      </c>
      <c r="J826">
        <v>1840.9499999999971</v>
      </c>
      <c r="K826" s="1">
        <v>8.3885828332399068</v>
      </c>
      <c r="L826" t="s">
        <v>55</v>
      </c>
    </row>
    <row r="827" spans="1:12" x14ac:dyDescent="0.3">
      <c r="A827" t="s">
        <v>20</v>
      </c>
      <c r="B827" s="7">
        <v>45992</v>
      </c>
      <c r="C827" t="s">
        <v>22</v>
      </c>
      <c r="D827" t="s">
        <v>26</v>
      </c>
      <c r="E827" t="s">
        <v>34</v>
      </c>
      <c r="F827" t="s">
        <v>43</v>
      </c>
      <c r="G827" t="s">
        <v>48</v>
      </c>
      <c r="H827">
        <v>5401.87</v>
      </c>
      <c r="I827">
        <v>5131.95</v>
      </c>
      <c r="J827">
        <v>-269.92000000000007</v>
      </c>
      <c r="K827" s="1">
        <v>-4.9967881492890438</v>
      </c>
      <c r="L827" t="s">
        <v>55</v>
      </c>
    </row>
    <row r="828" spans="1:12" x14ac:dyDescent="0.3">
      <c r="A828" t="s">
        <v>20</v>
      </c>
      <c r="B828" s="7">
        <v>45992</v>
      </c>
      <c r="C828" t="s">
        <v>22</v>
      </c>
      <c r="D828" t="s">
        <v>26</v>
      </c>
      <c r="E828" t="s">
        <v>34</v>
      </c>
      <c r="F828" t="s">
        <v>43</v>
      </c>
      <c r="G828" t="s">
        <v>49</v>
      </c>
      <c r="H828">
        <v>3177.54</v>
      </c>
      <c r="I828">
        <v>3078.54</v>
      </c>
      <c r="J828">
        <v>-99</v>
      </c>
      <c r="K828" s="1">
        <v>-3.1156177420268509</v>
      </c>
      <c r="L828" t="s">
        <v>55</v>
      </c>
    </row>
    <row r="829" spans="1:12" x14ac:dyDescent="0.3">
      <c r="A829" t="s">
        <v>20</v>
      </c>
      <c r="B829" s="7">
        <v>45992</v>
      </c>
      <c r="C829" t="s">
        <v>22</v>
      </c>
      <c r="D829" t="s">
        <v>26</v>
      </c>
      <c r="E829" t="s">
        <v>34</v>
      </c>
      <c r="F829" t="s">
        <v>43</v>
      </c>
      <c r="G829" t="s">
        <v>51</v>
      </c>
      <c r="H829">
        <v>4815.51</v>
      </c>
      <c r="I829">
        <v>5582.12</v>
      </c>
      <c r="J829">
        <v>766.60999999999967</v>
      </c>
      <c r="K829" s="1">
        <v>15.919601454466914</v>
      </c>
      <c r="L829" t="s">
        <v>55</v>
      </c>
    </row>
    <row r="830" spans="1:12" x14ac:dyDescent="0.3">
      <c r="A830" t="s">
        <v>20</v>
      </c>
      <c r="B830" s="7">
        <v>45992</v>
      </c>
      <c r="C830" t="s">
        <v>23</v>
      </c>
      <c r="D830" t="s">
        <v>27</v>
      </c>
      <c r="E830" t="s">
        <v>35</v>
      </c>
      <c r="F830" t="s">
        <v>41</v>
      </c>
      <c r="G830" t="s">
        <v>45</v>
      </c>
      <c r="H830">
        <v>7034.83</v>
      </c>
      <c r="I830">
        <v>6688.88</v>
      </c>
      <c r="J830">
        <v>-345.94999999999982</v>
      </c>
      <c r="K830" s="1">
        <v>-4.9176739167826344</v>
      </c>
      <c r="L830" t="s">
        <v>55</v>
      </c>
    </row>
    <row r="831" spans="1:12" x14ac:dyDescent="0.3">
      <c r="A831" t="s">
        <v>20</v>
      </c>
      <c r="B831" s="7">
        <v>45992</v>
      </c>
      <c r="C831" t="s">
        <v>23</v>
      </c>
      <c r="D831" t="s">
        <v>27</v>
      </c>
      <c r="E831" t="s">
        <v>35</v>
      </c>
      <c r="F831" t="s">
        <v>41</v>
      </c>
      <c r="G831" t="s">
        <v>46</v>
      </c>
      <c r="H831">
        <v>8893.7000000000007</v>
      </c>
      <c r="I831">
        <v>8872.15</v>
      </c>
      <c r="J831">
        <v>-21.550000000001091</v>
      </c>
      <c r="K831" s="1">
        <v>-0.24230635168716158</v>
      </c>
      <c r="L831" t="s">
        <v>55</v>
      </c>
    </row>
    <row r="832" spans="1:12" x14ac:dyDescent="0.3">
      <c r="A832" t="s">
        <v>20</v>
      </c>
      <c r="B832" s="7">
        <v>45992</v>
      </c>
      <c r="C832" t="s">
        <v>23</v>
      </c>
      <c r="D832" t="s">
        <v>27</v>
      </c>
      <c r="E832" t="s">
        <v>35</v>
      </c>
      <c r="F832" t="s">
        <v>41</v>
      </c>
      <c r="G832" t="s">
        <v>47</v>
      </c>
      <c r="H832">
        <v>19986.419999999998</v>
      </c>
      <c r="I832">
        <v>20389.63</v>
      </c>
      <c r="J832">
        <v>403.21000000000276</v>
      </c>
      <c r="K832" s="1">
        <v>2.0174198280632689</v>
      </c>
      <c r="L832" t="s">
        <v>55</v>
      </c>
    </row>
    <row r="833" spans="1:12" x14ac:dyDescent="0.3">
      <c r="A833" t="s">
        <v>20</v>
      </c>
      <c r="B833" s="7">
        <v>45992</v>
      </c>
      <c r="C833" t="s">
        <v>23</v>
      </c>
      <c r="D833" t="s">
        <v>27</v>
      </c>
      <c r="E833" t="s">
        <v>35</v>
      </c>
      <c r="F833" t="s">
        <v>41</v>
      </c>
      <c r="G833" t="s">
        <v>48</v>
      </c>
      <c r="H833">
        <v>9111.4500000000007</v>
      </c>
      <c r="I833">
        <v>9238.99</v>
      </c>
      <c r="J833">
        <v>127.53999999999905</v>
      </c>
      <c r="K833" s="1">
        <v>1.3997772034088871</v>
      </c>
      <c r="L833" t="s">
        <v>55</v>
      </c>
    </row>
    <row r="834" spans="1:12" x14ac:dyDescent="0.3">
      <c r="A834" t="s">
        <v>20</v>
      </c>
      <c r="B834" s="7">
        <v>45992</v>
      </c>
      <c r="C834" t="s">
        <v>23</v>
      </c>
      <c r="D834" t="s">
        <v>27</v>
      </c>
      <c r="E834" t="s">
        <v>35</v>
      </c>
      <c r="F834" t="s">
        <v>41</v>
      </c>
      <c r="G834" t="s">
        <v>49</v>
      </c>
      <c r="H834">
        <v>4708.53</v>
      </c>
      <c r="I834">
        <v>5325.21</v>
      </c>
      <c r="J834">
        <v>616.68000000000029</v>
      </c>
      <c r="K834" s="1">
        <v>13.097081254659104</v>
      </c>
      <c r="L834" t="s">
        <v>55</v>
      </c>
    </row>
    <row r="835" spans="1:12" x14ac:dyDescent="0.3">
      <c r="A835" t="s">
        <v>20</v>
      </c>
      <c r="B835" s="7">
        <v>45992</v>
      </c>
      <c r="C835" t="s">
        <v>23</v>
      </c>
      <c r="D835" t="s">
        <v>27</v>
      </c>
      <c r="E835" t="s">
        <v>35</v>
      </c>
      <c r="F835" t="s">
        <v>41</v>
      </c>
      <c r="G835" t="s">
        <v>51</v>
      </c>
      <c r="H835">
        <v>5250.64</v>
      </c>
      <c r="I835">
        <v>6075.49</v>
      </c>
      <c r="J835">
        <v>824.84999999999945</v>
      </c>
      <c r="K835" s="1">
        <v>15.709513506924857</v>
      </c>
      <c r="L835" t="s">
        <v>55</v>
      </c>
    </row>
    <row r="836" spans="1:12" x14ac:dyDescent="0.3">
      <c r="A836" t="s">
        <v>20</v>
      </c>
      <c r="B836" s="7">
        <v>45992</v>
      </c>
      <c r="C836" t="s">
        <v>23</v>
      </c>
      <c r="D836" t="s">
        <v>27</v>
      </c>
      <c r="E836" t="s">
        <v>36</v>
      </c>
      <c r="F836" t="s">
        <v>44</v>
      </c>
      <c r="G836" t="s">
        <v>45</v>
      </c>
      <c r="H836">
        <v>5328.83</v>
      </c>
      <c r="I836">
        <v>5967</v>
      </c>
      <c r="J836">
        <v>638.17000000000007</v>
      </c>
      <c r="K836" s="1">
        <v>11.975799565758338</v>
      </c>
      <c r="L836" t="s">
        <v>55</v>
      </c>
    </row>
    <row r="837" spans="1:12" x14ac:dyDescent="0.3">
      <c r="A837" t="s">
        <v>20</v>
      </c>
      <c r="B837" s="7">
        <v>45992</v>
      </c>
      <c r="C837" t="s">
        <v>23</v>
      </c>
      <c r="D837" t="s">
        <v>27</v>
      </c>
      <c r="E837" t="s">
        <v>36</v>
      </c>
      <c r="F837" t="s">
        <v>44</v>
      </c>
      <c r="G837" t="s">
        <v>46</v>
      </c>
      <c r="H837">
        <v>8805.3700000000008</v>
      </c>
      <c r="I837">
        <v>10035.75</v>
      </c>
      <c r="J837">
        <v>1230.3799999999992</v>
      </c>
      <c r="K837" s="1">
        <v>13.973064164254303</v>
      </c>
      <c r="L837" t="s">
        <v>55</v>
      </c>
    </row>
    <row r="838" spans="1:12" x14ac:dyDescent="0.3">
      <c r="A838" t="s">
        <v>20</v>
      </c>
      <c r="B838" s="7">
        <v>45992</v>
      </c>
      <c r="C838" t="s">
        <v>23</v>
      </c>
      <c r="D838" t="s">
        <v>27</v>
      </c>
      <c r="E838" t="s">
        <v>36</v>
      </c>
      <c r="F838" t="s">
        <v>44</v>
      </c>
      <c r="G838" t="s">
        <v>47</v>
      </c>
      <c r="H838">
        <v>22875.01</v>
      </c>
      <c r="I838">
        <v>25527.49</v>
      </c>
      <c r="J838">
        <v>2652.4800000000032</v>
      </c>
      <c r="K838" s="1">
        <v>11.595535914519834</v>
      </c>
      <c r="L838" t="s">
        <v>55</v>
      </c>
    </row>
    <row r="839" spans="1:12" x14ac:dyDescent="0.3">
      <c r="A839" t="s">
        <v>20</v>
      </c>
      <c r="B839" s="7">
        <v>45992</v>
      </c>
      <c r="C839" t="s">
        <v>23</v>
      </c>
      <c r="D839" t="s">
        <v>27</v>
      </c>
      <c r="E839" t="s">
        <v>36</v>
      </c>
      <c r="F839" t="s">
        <v>44</v>
      </c>
      <c r="G839" t="s">
        <v>48</v>
      </c>
      <c r="H839">
        <v>8568.1299999999992</v>
      </c>
      <c r="I839">
        <v>8144.38</v>
      </c>
      <c r="J839">
        <v>-423.74999999999909</v>
      </c>
      <c r="K839" s="1">
        <v>-4.9456532522265544</v>
      </c>
      <c r="L839" t="s">
        <v>55</v>
      </c>
    </row>
    <row r="840" spans="1:12" x14ac:dyDescent="0.3">
      <c r="A840" t="s">
        <v>20</v>
      </c>
      <c r="B840" s="7">
        <v>45992</v>
      </c>
      <c r="C840" t="s">
        <v>23</v>
      </c>
      <c r="D840" t="s">
        <v>27</v>
      </c>
      <c r="E840" t="s">
        <v>36</v>
      </c>
      <c r="F840" t="s">
        <v>44</v>
      </c>
      <c r="G840" t="s">
        <v>49</v>
      </c>
      <c r="H840">
        <v>2794.93</v>
      </c>
      <c r="I840">
        <v>2747.37</v>
      </c>
      <c r="J840">
        <v>-47.559999999999945</v>
      </c>
      <c r="K840" s="1">
        <v>-1.7016526353075014</v>
      </c>
      <c r="L840" t="s">
        <v>55</v>
      </c>
    </row>
    <row r="841" spans="1:12" x14ac:dyDescent="0.3">
      <c r="A841" t="s">
        <v>20</v>
      </c>
      <c r="B841" s="7">
        <v>45992</v>
      </c>
      <c r="C841" t="s">
        <v>23</v>
      </c>
      <c r="D841" t="s">
        <v>27</v>
      </c>
      <c r="E841" t="s">
        <v>36</v>
      </c>
      <c r="F841" t="s">
        <v>44</v>
      </c>
      <c r="G841" t="s">
        <v>51</v>
      </c>
      <c r="H841">
        <v>5124.6899999999996</v>
      </c>
      <c r="I841">
        <v>5531.25</v>
      </c>
      <c r="J841">
        <v>406.5600000000004</v>
      </c>
      <c r="K841" s="1">
        <v>7.9333579201864</v>
      </c>
      <c r="L841" t="s">
        <v>55</v>
      </c>
    </row>
    <row r="842" spans="1:12" x14ac:dyDescent="0.3">
      <c r="A842" t="s">
        <v>20</v>
      </c>
      <c r="B842" s="7">
        <v>45992</v>
      </c>
      <c r="C842" t="s">
        <v>23</v>
      </c>
      <c r="D842" t="s">
        <v>27</v>
      </c>
      <c r="E842" t="s">
        <v>37</v>
      </c>
      <c r="F842" t="s">
        <v>43</v>
      </c>
      <c r="G842" t="s">
        <v>45</v>
      </c>
      <c r="H842">
        <v>6224.79</v>
      </c>
      <c r="I842">
        <v>7295.15</v>
      </c>
      <c r="J842">
        <v>1070.3599999999997</v>
      </c>
      <c r="K842" s="1">
        <v>17.195118228888038</v>
      </c>
      <c r="L842" t="s">
        <v>55</v>
      </c>
    </row>
    <row r="843" spans="1:12" x14ac:dyDescent="0.3">
      <c r="A843" t="s">
        <v>20</v>
      </c>
      <c r="B843" s="7">
        <v>45992</v>
      </c>
      <c r="C843" t="s">
        <v>23</v>
      </c>
      <c r="D843" t="s">
        <v>27</v>
      </c>
      <c r="E843" t="s">
        <v>37</v>
      </c>
      <c r="F843" t="s">
        <v>43</v>
      </c>
      <c r="G843" t="s">
        <v>46</v>
      </c>
      <c r="H843">
        <v>10211.25</v>
      </c>
      <c r="I843">
        <v>11451.08</v>
      </c>
      <c r="J843">
        <v>1239.83</v>
      </c>
      <c r="K843" s="1">
        <v>12.141804382421348</v>
      </c>
      <c r="L843" t="s">
        <v>55</v>
      </c>
    </row>
    <row r="844" spans="1:12" x14ac:dyDescent="0.3">
      <c r="A844" t="s">
        <v>20</v>
      </c>
      <c r="B844" s="7">
        <v>45992</v>
      </c>
      <c r="C844" t="s">
        <v>23</v>
      </c>
      <c r="D844" t="s">
        <v>27</v>
      </c>
      <c r="E844" t="s">
        <v>37</v>
      </c>
      <c r="F844" t="s">
        <v>43</v>
      </c>
      <c r="G844" t="s">
        <v>47</v>
      </c>
      <c r="H844">
        <v>14931.27</v>
      </c>
      <c r="I844">
        <v>16939</v>
      </c>
      <c r="J844">
        <v>2007.7299999999996</v>
      </c>
      <c r="K844" s="1">
        <v>13.446478430836759</v>
      </c>
      <c r="L844" t="s">
        <v>55</v>
      </c>
    </row>
    <row r="845" spans="1:12" x14ac:dyDescent="0.3">
      <c r="A845" t="s">
        <v>20</v>
      </c>
      <c r="B845" s="7">
        <v>45992</v>
      </c>
      <c r="C845" t="s">
        <v>23</v>
      </c>
      <c r="D845" t="s">
        <v>27</v>
      </c>
      <c r="E845" t="s">
        <v>37</v>
      </c>
      <c r="F845" t="s">
        <v>43</v>
      </c>
      <c r="G845" t="s">
        <v>48</v>
      </c>
      <c r="H845">
        <v>9125.58</v>
      </c>
      <c r="I845">
        <v>9223.5</v>
      </c>
      <c r="J845">
        <v>97.920000000000073</v>
      </c>
      <c r="K845" s="1">
        <v>1.0730276870072923</v>
      </c>
      <c r="L845" t="s">
        <v>55</v>
      </c>
    </row>
    <row r="846" spans="1:12" x14ac:dyDescent="0.3">
      <c r="A846" t="s">
        <v>20</v>
      </c>
      <c r="B846" s="7">
        <v>45992</v>
      </c>
      <c r="C846" t="s">
        <v>23</v>
      </c>
      <c r="D846" t="s">
        <v>27</v>
      </c>
      <c r="E846" t="s">
        <v>37</v>
      </c>
      <c r="F846" t="s">
        <v>43</v>
      </c>
      <c r="G846" t="s">
        <v>49</v>
      </c>
      <c r="H846">
        <v>3898.13</v>
      </c>
      <c r="I846">
        <v>4297.25</v>
      </c>
      <c r="J846">
        <v>399.11999999999989</v>
      </c>
      <c r="K846" s="1">
        <v>10.238755505845107</v>
      </c>
      <c r="L846" t="s">
        <v>55</v>
      </c>
    </row>
    <row r="847" spans="1:12" x14ac:dyDescent="0.3">
      <c r="A847" t="s">
        <v>20</v>
      </c>
      <c r="B847" s="7">
        <v>45992</v>
      </c>
      <c r="C847" t="s">
        <v>23</v>
      </c>
      <c r="D847" t="s">
        <v>27</v>
      </c>
      <c r="E847" t="s">
        <v>37</v>
      </c>
      <c r="F847" t="s">
        <v>43</v>
      </c>
      <c r="G847" t="s">
        <v>51</v>
      </c>
      <c r="H847">
        <v>5129.42</v>
      </c>
      <c r="I847">
        <v>5210.7</v>
      </c>
      <c r="J847">
        <v>81.279999999999745</v>
      </c>
      <c r="K847" s="1">
        <v>1.5845846119054348</v>
      </c>
      <c r="L847" t="s">
        <v>55</v>
      </c>
    </row>
    <row r="848" spans="1:12" x14ac:dyDescent="0.3">
      <c r="A848" t="s">
        <v>20</v>
      </c>
      <c r="B848" s="7">
        <v>45992</v>
      </c>
      <c r="C848" t="s">
        <v>24</v>
      </c>
      <c r="D848" t="s">
        <v>28</v>
      </c>
      <c r="E848" t="s">
        <v>38</v>
      </c>
      <c r="F848" t="s">
        <v>41</v>
      </c>
      <c r="G848" t="s">
        <v>45</v>
      </c>
      <c r="H848">
        <v>6429.79</v>
      </c>
      <c r="I848">
        <v>5775.9</v>
      </c>
      <c r="J848">
        <v>-653.89000000000033</v>
      </c>
      <c r="K848" s="1">
        <v>-10.169694500131426</v>
      </c>
      <c r="L848" t="s">
        <v>55</v>
      </c>
    </row>
    <row r="849" spans="1:12" x14ac:dyDescent="0.3">
      <c r="A849" t="s">
        <v>20</v>
      </c>
      <c r="B849" s="7">
        <v>45992</v>
      </c>
      <c r="C849" t="s">
        <v>24</v>
      </c>
      <c r="D849" t="s">
        <v>28</v>
      </c>
      <c r="E849" t="s">
        <v>38</v>
      </c>
      <c r="F849" t="s">
        <v>41</v>
      </c>
      <c r="G849" t="s">
        <v>46</v>
      </c>
      <c r="H849">
        <v>8734.69</v>
      </c>
      <c r="I849">
        <v>7620.99</v>
      </c>
      <c r="J849">
        <v>-1113.7000000000007</v>
      </c>
      <c r="K849" s="1">
        <v>-12.750309398501845</v>
      </c>
      <c r="L849" t="s">
        <v>55</v>
      </c>
    </row>
    <row r="850" spans="1:12" x14ac:dyDescent="0.3">
      <c r="A850" t="s">
        <v>20</v>
      </c>
      <c r="B850" s="7">
        <v>45992</v>
      </c>
      <c r="C850" t="s">
        <v>24</v>
      </c>
      <c r="D850" t="s">
        <v>28</v>
      </c>
      <c r="E850" t="s">
        <v>38</v>
      </c>
      <c r="F850" t="s">
        <v>41</v>
      </c>
      <c r="G850" t="s">
        <v>47</v>
      </c>
      <c r="H850">
        <v>13778.77</v>
      </c>
      <c r="I850">
        <v>12326.55</v>
      </c>
      <c r="J850">
        <v>-1452.2200000000012</v>
      </c>
      <c r="K850" s="1">
        <v>-10.539547434204948</v>
      </c>
      <c r="L850" t="s">
        <v>55</v>
      </c>
    </row>
    <row r="851" spans="1:12" x14ac:dyDescent="0.3">
      <c r="A851" t="s">
        <v>20</v>
      </c>
      <c r="B851" s="7">
        <v>45992</v>
      </c>
      <c r="C851" t="s">
        <v>24</v>
      </c>
      <c r="D851" t="s">
        <v>28</v>
      </c>
      <c r="E851" t="s">
        <v>38</v>
      </c>
      <c r="F851" t="s">
        <v>41</v>
      </c>
      <c r="G851" t="s">
        <v>48</v>
      </c>
      <c r="H851">
        <v>9295.08</v>
      </c>
      <c r="I851">
        <v>9586.44</v>
      </c>
      <c r="J851">
        <v>291.36000000000058</v>
      </c>
      <c r="K851" s="1">
        <v>3.1345615099601138</v>
      </c>
      <c r="L851" t="s">
        <v>55</v>
      </c>
    </row>
    <row r="852" spans="1:12" x14ac:dyDescent="0.3">
      <c r="A852" t="s">
        <v>20</v>
      </c>
      <c r="B852" s="7">
        <v>45992</v>
      </c>
      <c r="C852" t="s">
        <v>24</v>
      </c>
      <c r="D852" t="s">
        <v>28</v>
      </c>
      <c r="E852" t="s">
        <v>38</v>
      </c>
      <c r="F852" t="s">
        <v>41</v>
      </c>
      <c r="G852" t="s">
        <v>49</v>
      </c>
      <c r="H852">
        <v>4653.2299999999996</v>
      </c>
      <c r="I852">
        <v>4619.37</v>
      </c>
      <c r="J852">
        <v>-33.859999999999673</v>
      </c>
      <c r="K852" s="1">
        <v>-0.72766658858469657</v>
      </c>
      <c r="L852" t="s">
        <v>55</v>
      </c>
    </row>
    <row r="853" spans="1:12" x14ac:dyDescent="0.3">
      <c r="A853" t="s">
        <v>20</v>
      </c>
      <c r="B853" s="7">
        <v>45992</v>
      </c>
      <c r="C853" t="s">
        <v>24</v>
      </c>
      <c r="D853" t="s">
        <v>28</v>
      </c>
      <c r="E853" t="s">
        <v>38</v>
      </c>
      <c r="F853" t="s">
        <v>41</v>
      </c>
      <c r="G853" t="s">
        <v>51</v>
      </c>
      <c r="H853">
        <v>5622.54</v>
      </c>
      <c r="I853">
        <v>5718.27</v>
      </c>
      <c r="J853">
        <v>95.730000000000473</v>
      </c>
      <c r="K853" s="1">
        <v>1.7026112753310865</v>
      </c>
      <c r="L853" t="s">
        <v>55</v>
      </c>
    </row>
    <row r="854" spans="1:12" x14ac:dyDescent="0.3">
      <c r="A854" t="s">
        <v>20</v>
      </c>
      <c r="B854" s="7">
        <v>45992</v>
      </c>
      <c r="C854" t="s">
        <v>24</v>
      </c>
      <c r="D854" t="s">
        <v>28</v>
      </c>
      <c r="E854" t="s">
        <v>39</v>
      </c>
      <c r="F854" t="s">
        <v>44</v>
      </c>
      <c r="G854" t="s">
        <v>45</v>
      </c>
      <c r="H854">
        <v>6589.1</v>
      </c>
      <c r="I854">
        <v>5830.49</v>
      </c>
      <c r="J854">
        <v>-758.61000000000058</v>
      </c>
      <c r="K854" s="1">
        <v>-11.513104976400427</v>
      </c>
      <c r="L854" t="s">
        <v>55</v>
      </c>
    </row>
    <row r="855" spans="1:12" x14ac:dyDescent="0.3">
      <c r="A855" t="s">
        <v>20</v>
      </c>
      <c r="B855" s="7">
        <v>45992</v>
      </c>
      <c r="C855" t="s">
        <v>24</v>
      </c>
      <c r="D855" t="s">
        <v>28</v>
      </c>
      <c r="E855" t="s">
        <v>39</v>
      </c>
      <c r="F855" t="s">
        <v>44</v>
      </c>
      <c r="G855" t="s">
        <v>46</v>
      </c>
      <c r="H855">
        <v>10210.459999999999</v>
      </c>
      <c r="I855">
        <v>9406.82</v>
      </c>
      <c r="J855">
        <v>-803.63999999999942</v>
      </c>
      <c r="K855" s="1">
        <v>-7.8707521502459183</v>
      </c>
      <c r="L855" t="s">
        <v>55</v>
      </c>
    </row>
    <row r="856" spans="1:12" x14ac:dyDescent="0.3">
      <c r="A856" t="s">
        <v>20</v>
      </c>
      <c r="B856" s="7">
        <v>45992</v>
      </c>
      <c r="C856" t="s">
        <v>24</v>
      </c>
      <c r="D856" t="s">
        <v>28</v>
      </c>
      <c r="E856" t="s">
        <v>39</v>
      </c>
      <c r="F856" t="s">
        <v>44</v>
      </c>
      <c r="G856" t="s">
        <v>47</v>
      </c>
      <c r="H856">
        <v>20191.55</v>
      </c>
      <c r="I856">
        <v>21495.24</v>
      </c>
      <c r="J856">
        <v>1303.6900000000023</v>
      </c>
      <c r="K856" s="1">
        <v>6.4566118004809061</v>
      </c>
      <c r="L856" t="s">
        <v>55</v>
      </c>
    </row>
    <row r="857" spans="1:12" x14ac:dyDescent="0.3">
      <c r="A857" t="s">
        <v>20</v>
      </c>
      <c r="B857" s="7">
        <v>45992</v>
      </c>
      <c r="C857" t="s">
        <v>24</v>
      </c>
      <c r="D857" t="s">
        <v>28</v>
      </c>
      <c r="E857" t="s">
        <v>39</v>
      </c>
      <c r="F857" t="s">
        <v>44</v>
      </c>
      <c r="G857" t="s">
        <v>48</v>
      </c>
      <c r="H857">
        <v>5888.5</v>
      </c>
      <c r="I857">
        <v>5124.4399999999996</v>
      </c>
      <c r="J857">
        <v>-764.0600000000004</v>
      </c>
      <c r="K857" s="1">
        <v>-12.975460643627414</v>
      </c>
      <c r="L857" t="s">
        <v>55</v>
      </c>
    </row>
    <row r="858" spans="1:12" x14ac:dyDescent="0.3">
      <c r="A858" t="s">
        <v>20</v>
      </c>
      <c r="B858" s="7">
        <v>45992</v>
      </c>
      <c r="C858" t="s">
        <v>24</v>
      </c>
      <c r="D858" t="s">
        <v>28</v>
      </c>
      <c r="E858" t="s">
        <v>39</v>
      </c>
      <c r="F858" t="s">
        <v>44</v>
      </c>
      <c r="G858" t="s">
        <v>49</v>
      </c>
      <c r="H858">
        <v>4264.6000000000004</v>
      </c>
      <c r="I858">
        <v>4271.99</v>
      </c>
      <c r="J858">
        <v>7.3899999999994179</v>
      </c>
      <c r="K858" s="1">
        <v>0.17328706092011953</v>
      </c>
      <c r="L858" t="s">
        <v>55</v>
      </c>
    </row>
    <row r="859" spans="1:12" x14ac:dyDescent="0.3">
      <c r="A859" t="s">
        <v>20</v>
      </c>
      <c r="B859" s="7">
        <v>45992</v>
      </c>
      <c r="C859" t="s">
        <v>24</v>
      </c>
      <c r="D859" t="s">
        <v>28</v>
      </c>
      <c r="E859" t="s">
        <v>39</v>
      </c>
      <c r="F859" t="s">
        <v>44</v>
      </c>
      <c r="G859" t="s">
        <v>51</v>
      </c>
      <c r="H859">
        <v>4709.3900000000003</v>
      </c>
      <c r="I859">
        <v>5549.1</v>
      </c>
      <c r="J859">
        <v>839.71</v>
      </c>
      <c r="K859" s="1">
        <v>17.830547055988141</v>
      </c>
      <c r="L859" t="s">
        <v>55</v>
      </c>
    </row>
    <row r="860" spans="1:12" x14ac:dyDescent="0.3">
      <c r="A860" t="s">
        <v>20</v>
      </c>
      <c r="B860" s="7">
        <v>45992</v>
      </c>
      <c r="C860" t="s">
        <v>24</v>
      </c>
      <c r="D860" t="s">
        <v>28</v>
      </c>
      <c r="E860" t="s">
        <v>40</v>
      </c>
      <c r="F860" t="s">
        <v>43</v>
      </c>
      <c r="G860" t="s">
        <v>45</v>
      </c>
      <c r="H860">
        <v>5100.34</v>
      </c>
      <c r="I860">
        <v>5505.12</v>
      </c>
      <c r="J860">
        <v>404.77999999999975</v>
      </c>
      <c r="K860" s="1">
        <v>7.9363336561876219</v>
      </c>
      <c r="L860" t="s">
        <v>55</v>
      </c>
    </row>
    <row r="861" spans="1:12" x14ac:dyDescent="0.3">
      <c r="A861" t="s">
        <v>20</v>
      </c>
      <c r="B861" s="7">
        <v>45992</v>
      </c>
      <c r="C861" t="s">
        <v>24</v>
      </c>
      <c r="D861" t="s">
        <v>28</v>
      </c>
      <c r="E861" t="s">
        <v>40</v>
      </c>
      <c r="F861" t="s">
        <v>43</v>
      </c>
      <c r="G861" t="s">
        <v>46</v>
      </c>
      <c r="H861">
        <v>12061.87</v>
      </c>
      <c r="I861">
        <v>11204.62</v>
      </c>
      <c r="J861">
        <v>-857.25</v>
      </c>
      <c r="K861" s="1">
        <v>-7.1071069411293593</v>
      </c>
      <c r="L861" t="s">
        <v>55</v>
      </c>
    </row>
    <row r="862" spans="1:12" x14ac:dyDescent="0.3">
      <c r="A862" t="s">
        <v>20</v>
      </c>
      <c r="B862" s="7">
        <v>45992</v>
      </c>
      <c r="C862" t="s">
        <v>24</v>
      </c>
      <c r="D862" t="s">
        <v>28</v>
      </c>
      <c r="E862" t="s">
        <v>40</v>
      </c>
      <c r="F862" t="s">
        <v>43</v>
      </c>
      <c r="G862" t="s">
        <v>47</v>
      </c>
      <c r="H862">
        <v>15036.29</v>
      </c>
      <c r="I862">
        <v>13383.16</v>
      </c>
      <c r="J862">
        <v>-1653.130000000001</v>
      </c>
      <c r="K862" s="1">
        <v>-10.994267867938175</v>
      </c>
      <c r="L862" t="s">
        <v>55</v>
      </c>
    </row>
    <row r="863" spans="1:12" x14ac:dyDescent="0.3">
      <c r="A863" t="s">
        <v>20</v>
      </c>
      <c r="B863" s="7">
        <v>45992</v>
      </c>
      <c r="C863" t="s">
        <v>24</v>
      </c>
      <c r="D863" t="s">
        <v>28</v>
      </c>
      <c r="E863" t="s">
        <v>40</v>
      </c>
      <c r="F863" t="s">
        <v>43</v>
      </c>
      <c r="G863" t="s">
        <v>48</v>
      </c>
      <c r="H863">
        <v>6523.76</v>
      </c>
      <c r="I863">
        <v>5762.73</v>
      </c>
      <c r="J863">
        <v>-761.03000000000065</v>
      </c>
      <c r="K863" s="1">
        <v>-11.665511913375118</v>
      </c>
      <c r="L863" t="s">
        <v>55</v>
      </c>
    </row>
    <row r="864" spans="1:12" x14ac:dyDescent="0.3">
      <c r="A864" t="s">
        <v>20</v>
      </c>
      <c r="B864" s="7">
        <v>45992</v>
      </c>
      <c r="C864" t="s">
        <v>24</v>
      </c>
      <c r="D864" t="s">
        <v>28</v>
      </c>
      <c r="E864" t="s">
        <v>40</v>
      </c>
      <c r="F864" t="s">
        <v>43</v>
      </c>
      <c r="G864" t="s">
        <v>49</v>
      </c>
      <c r="H864">
        <v>4078.54</v>
      </c>
      <c r="I864">
        <v>3550.6</v>
      </c>
      <c r="J864">
        <v>-527.94000000000005</v>
      </c>
      <c r="K864" s="1">
        <v>-12.944337924845655</v>
      </c>
      <c r="L864" t="s">
        <v>55</v>
      </c>
    </row>
    <row r="865" spans="1:12" x14ac:dyDescent="0.3">
      <c r="A865" t="s">
        <v>20</v>
      </c>
      <c r="B865" s="7">
        <v>45992</v>
      </c>
      <c r="C865" t="s">
        <v>24</v>
      </c>
      <c r="D865" t="s">
        <v>28</v>
      </c>
      <c r="E865" t="s">
        <v>40</v>
      </c>
      <c r="F865" t="s">
        <v>43</v>
      </c>
      <c r="G865" t="s">
        <v>51</v>
      </c>
      <c r="H865">
        <v>6333.92</v>
      </c>
      <c r="I865">
        <v>7467.12</v>
      </c>
      <c r="J865">
        <v>1133.1999999999998</v>
      </c>
      <c r="K865" s="1">
        <v>17.890974309748149</v>
      </c>
      <c r="L865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A59C-DC5D-42BF-8C4E-1A76791C13FC}">
  <dimension ref="A1:B7"/>
  <sheetViews>
    <sheetView workbookViewId="0">
      <selection activeCell="B3" sqref="B3"/>
    </sheetView>
  </sheetViews>
  <sheetFormatPr baseColWidth="10" defaultRowHeight="14.4" x14ac:dyDescent="0.3"/>
  <cols>
    <col min="1" max="1" width="24.33203125" bestFit="1" customWidth="1"/>
    <col min="2" max="2" width="7.77734375" bestFit="1" customWidth="1"/>
  </cols>
  <sheetData>
    <row r="1" spans="1:2" x14ac:dyDescent="0.3">
      <c r="A1" s="4" t="s">
        <v>72</v>
      </c>
      <c r="B1" s="4" t="s">
        <v>73</v>
      </c>
    </row>
    <row r="2" spans="1:2" x14ac:dyDescent="0.3">
      <c r="A2" t="s">
        <v>74</v>
      </c>
      <c r="B2">
        <f>COUNTA(Données!G2:G8309)</f>
        <v>864</v>
      </c>
    </row>
    <row r="3" spans="1:2" x14ac:dyDescent="0.3">
      <c r="A3" t="s">
        <v>75</v>
      </c>
      <c r="B3">
        <f>COUNTIF(Données!L:L,"Significatif")</f>
        <v>3</v>
      </c>
    </row>
    <row r="4" spans="1:2" x14ac:dyDescent="0.3">
      <c r="A4" t="s">
        <v>76</v>
      </c>
      <c r="B4">
        <f>COUNTIF(Données!J:J,"&gt;0")</f>
        <v>490</v>
      </c>
    </row>
    <row r="5" spans="1:2" x14ac:dyDescent="0.3">
      <c r="A5" t="s">
        <v>77</v>
      </c>
      <c r="B5">
        <f>COUNTIF(Données!J:J,"&lt;0")</f>
        <v>374</v>
      </c>
    </row>
    <row r="6" spans="1:2" x14ac:dyDescent="0.3">
      <c r="A6" t="s">
        <v>78</v>
      </c>
      <c r="B6">
        <f>MAX(Données!J:J)</f>
        <v>15500</v>
      </c>
    </row>
    <row r="7" spans="1:2" x14ac:dyDescent="0.3">
      <c r="A7" t="s">
        <v>79</v>
      </c>
      <c r="B7">
        <f>MIN(Données!J:J)</f>
        <v>-38036.01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C053-29CD-4547-99A7-6089270577F9}">
  <dimension ref="A1:I3"/>
  <sheetViews>
    <sheetView workbookViewId="0">
      <selection activeCell="B7" sqref="B7"/>
    </sheetView>
  </sheetViews>
  <sheetFormatPr baseColWidth="10" defaultRowHeight="14.4" x14ac:dyDescent="0.3"/>
  <sheetData>
    <row r="1" spans="1:9" x14ac:dyDescent="0.3">
      <c r="A1" s="4" t="s">
        <v>0</v>
      </c>
      <c r="B1" s="4" t="s">
        <v>63</v>
      </c>
      <c r="C1" s="4" t="s">
        <v>71</v>
      </c>
      <c r="D1" s="4" t="s">
        <v>80</v>
      </c>
      <c r="E1" s="4" t="s">
        <v>81</v>
      </c>
      <c r="F1" s="4" t="s">
        <v>82</v>
      </c>
      <c r="G1" s="4" t="s">
        <v>52</v>
      </c>
      <c r="H1" s="4" t="s">
        <v>53</v>
      </c>
      <c r="I1" s="4" t="s">
        <v>54</v>
      </c>
    </row>
    <row r="2" spans="1:9" x14ac:dyDescent="0.3">
      <c r="A2" t="str" cm="1">
        <f t="array" ref="A2:I3">_xlfn._xlws.FILTER(Données!A2:I8309,(Données!J2:J8309&gt;10000)*(Données!K2:K8309&gt;10%),"Aucun écart significatif")</f>
        <v>2025-05</v>
      </c>
      <c r="B2">
        <v>45778</v>
      </c>
      <c r="C2" t="str">
        <v>BU01</v>
      </c>
      <c r="D2" t="str">
        <v>CONSTRUCTION FRANCE</v>
      </c>
      <c r="E2" t="str">
        <v>CC1001</v>
      </c>
      <c r="F2" t="str">
        <v>IT</v>
      </c>
      <c r="G2" t="str">
        <v>LOGICIELS</v>
      </c>
      <c r="H2">
        <v>5448.59</v>
      </c>
      <c r="I2">
        <v>20448.59</v>
      </c>
    </row>
    <row r="3" spans="1:9" x14ac:dyDescent="0.3">
      <c r="A3" t="str">
        <v>2025-10</v>
      </c>
      <c r="B3">
        <v>45931</v>
      </c>
      <c r="C3" t="str">
        <v>BU04</v>
      </c>
      <c r="D3" t="str">
        <v>INFRASTRUCTURES</v>
      </c>
      <c r="E3" t="str">
        <v>CC4002</v>
      </c>
      <c r="F3" t="str">
        <v>MAINTENANCE</v>
      </c>
      <c r="G3" t="str">
        <v>ÉNERGIE</v>
      </c>
      <c r="H3">
        <v>150000</v>
      </c>
      <c r="I3">
        <v>165500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3C7B-B38C-4DD1-B60A-C99F8F330905}">
  <dimension ref="A1:E5"/>
  <sheetViews>
    <sheetView workbookViewId="0">
      <selection activeCell="E2" sqref="E2:E5"/>
    </sheetView>
  </sheetViews>
  <sheetFormatPr baseColWidth="10" defaultRowHeight="14.4" x14ac:dyDescent="0.3"/>
  <cols>
    <col min="1" max="1" width="12.109375" bestFit="1" customWidth="1"/>
  </cols>
  <sheetData>
    <row r="1" spans="1:5" x14ac:dyDescent="0.3">
      <c r="A1" s="4" t="s">
        <v>63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t="s">
        <v>21</v>
      </c>
      <c r="B2">
        <f>SUMIFS(Données!$H:$H,Données!$C:$C,A2)</f>
        <v>1850480.56</v>
      </c>
      <c r="C2">
        <f>SUMIFS(Données!$I:$I,Données!$C:$C,A2)</f>
        <v>1897131.0499999998</v>
      </c>
      <c r="D2">
        <f>C2-B2</f>
        <v>46650.489999999758</v>
      </c>
      <c r="E2" s="5">
        <f>D2/B2</f>
        <v>2.5209932494508213E-2</v>
      </c>
    </row>
    <row r="3" spans="1:5" x14ac:dyDescent="0.3">
      <c r="A3" t="s">
        <v>22</v>
      </c>
      <c r="B3">
        <f>SUMIFS(Données!$H:$H,Données!$C:$C,A3)</f>
        <v>1884824.870000001</v>
      </c>
      <c r="C3">
        <f>SUMIFS(Données!$I:$I,Données!$C:$C,A3)</f>
        <v>1872970.6776000003</v>
      </c>
      <c r="D3">
        <f t="shared" ref="D3:D5" si="0">C3-B3</f>
        <v>-11854.192400000757</v>
      </c>
      <c r="E3" s="5">
        <f t="shared" ref="E3:E5" si="1">D3/B3</f>
        <v>-6.2892805526280808E-3</v>
      </c>
    </row>
    <row r="4" spans="1:5" x14ac:dyDescent="0.3">
      <c r="A4" t="s">
        <v>23</v>
      </c>
      <c r="B4">
        <f>SUMIFS(Données!$H:$H,Données!$C:$C,A4)</f>
        <v>1928957.5</v>
      </c>
      <c r="C4">
        <f>SUMIFS(Données!$I:$I,Données!$C:$C,A4)</f>
        <v>1957048.373600001</v>
      </c>
      <c r="D4">
        <f t="shared" si="0"/>
        <v>28090.873600000981</v>
      </c>
      <c r="E4" s="5">
        <f t="shared" si="1"/>
        <v>1.4562722921578616E-2</v>
      </c>
    </row>
    <row r="5" spans="1:5" x14ac:dyDescent="0.3">
      <c r="A5" t="s">
        <v>24</v>
      </c>
      <c r="B5">
        <f>SUMIFS(Données!$H:$H,Données!$C:$C,A5)</f>
        <v>2001965.620000001</v>
      </c>
      <c r="C5">
        <f>SUMIFS(Données!$I:$I,Données!$C:$C,A5)</f>
        <v>2044165.2600000012</v>
      </c>
      <c r="D5">
        <f t="shared" si="0"/>
        <v>42199.64000000013</v>
      </c>
      <c r="E5" s="5">
        <f t="shared" si="1"/>
        <v>2.1079103246538323E-2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AB55-C0CB-42FC-8BD4-E4B17D36EE55}">
  <dimension ref="A1:E4"/>
  <sheetViews>
    <sheetView workbookViewId="0">
      <selection activeCell="B2" sqref="B2"/>
    </sheetView>
  </sheetViews>
  <sheetFormatPr baseColWidth="10" defaultRowHeight="14.4" x14ac:dyDescent="0.3"/>
  <cols>
    <col min="1" max="1" width="14.109375" bestFit="1" customWidth="1"/>
  </cols>
  <sheetData>
    <row r="1" spans="1:5" x14ac:dyDescent="0.3">
      <c r="A1" s="4" t="s">
        <v>68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t="s">
        <v>29</v>
      </c>
      <c r="B2">
        <f>SUMIFS(Données!H:H,Données!C:C,"BU01",Données!E:E,A2)</f>
        <v>615990.67999999993</v>
      </c>
      <c r="C2">
        <f>SUMIFS(Données!I:I,Données!C:C,"BU01",Données!E:E,A2)</f>
        <v>641245.35000000009</v>
      </c>
      <c r="D2">
        <f>C2-B2</f>
        <v>25254.670000000158</v>
      </c>
      <c r="E2" s="5">
        <f>D2/B2</f>
        <v>4.099846121048481E-2</v>
      </c>
    </row>
    <row r="3" spans="1:5" x14ac:dyDescent="0.3">
      <c r="A3" t="s">
        <v>30</v>
      </c>
      <c r="B3">
        <f>SUMIFS(Données!H:H,Données!C:C,"BU01",Données!E:E,A3)</f>
        <v>602694.34000000008</v>
      </c>
      <c r="C3">
        <f>SUMIFS(Données!I:I,Données!C:C,"BU01",Données!E:E,A3)</f>
        <v>622010.66999999969</v>
      </c>
      <c r="D3">
        <f t="shared" ref="D3:D4" si="0">C3-B3</f>
        <v>19316.329999999609</v>
      </c>
      <c r="E3" s="5">
        <f t="shared" ref="E3:E4" si="1">D3/B3</f>
        <v>3.2049960847482996E-2</v>
      </c>
    </row>
    <row r="4" spans="1:5" x14ac:dyDescent="0.3">
      <c r="A4" t="s">
        <v>31</v>
      </c>
      <c r="B4">
        <f>SUMIFS(Données!H:H,Données!C:C,"BU01",Données!E:E,A4)</f>
        <v>631795.53999999992</v>
      </c>
      <c r="C4">
        <f>SUMIFS(Données!I:I,Données!C:C,"BU01",Données!E:E,A4)</f>
        <v>633875.02999999991</v>
      </c>
      <c r="D4">
        <f t="shared" si="0"/>
        <v>2079.4899999999907</v>
      </c>
      <c r="E4" s="5">
        <f t="shared" si="1"/>
        <v>3.29139708710193E-3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DA23-D7EF-436D-968F-8784BD8A07DF}">
  <dimension ref="A1:F2"/>
  <sheetViews>
    <sheetView workbookViewId="0">
      <selection activeCell="F9" sqref="F9"/>
    </sheetView>
  </sheetViews>
  <sheetFormatPr baseColWidth="10" defaultRowHeight="14.4" x14ac:dyDescent="0.3"/>
  <cols>
    <col min="1" max="1" width="13" customWidth="1"/>
    <col min="5" max="5" width="27.5546875" customWidth="1"/>
    <col min="6" max="6" width="24.88671875" customWidth="1"/>
  </cols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>
        <f>SUM(Données!H2:H865)</f>
        <v>7666228.5500000026</v>
      </c>
      <c r="B2">
        <f>SUM(Données!I2:I865)</f>
        <v>7771315.3611999974</v>
      </c>
      <c r="C2">
        <f>B2-A2</f>
        <v>105086.81119999476</v>
      </c>
      <c r="D2">
        <f>C2/A2*100</f>
        <v>1.3707758712723837</v>
      </c>
      <c r="E2">
        <f>COUNTIF(Données!L2:L865,"Significatif")</f>
        <v>2</v>
      </c>
      <c r="F2" cm="1">
        <f t="array" ref="F2">COUNTA(_xlfn.UNIQUE(_xlfn._xlws.FILTER(Données!B2:B865,Données!L2:L865="Significatif")))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63FA-0E92-40EE-AF49-B9CE3A4FDD60}">
  <dimension ref="A1:E5"/>
  <sheetViews>
    <sheetView workbookViewId="0">
      <selection activeCell="A9" sqref="A9"/>
    </sheetView>
  </sheetViews>
  <sheetFormatPr baseColWidth="10" defaultRowHeight="14.4" x14ac:dyDescent="0.3"/>
  <cols>
    <col min="1" max="1" width="18.88671875" customWidth="1"/>
  </cols>
  <sheetData>
    <row r="1" spans="1:5" x14ac:dyDescent="0.3">
      <c r="A1" s="4" t="s">
        <v>63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t="s">
        <v>64</v>
      </c>
      <c r="B2">
        <f>SUMIF(Données!D:D,A2,Données!H:H)</f>
        <v>1850480.56</v>
      </c>
      <c r="C2">
        <f>SUMIF(Données!D:D,A2,Données!I:I)</f>
        <v>1897131.0499999998</v>
      </c>
      <c r="D2">
        <f>C2-B2</f>
        <v>46650.489999999758</v>
      </c>
      <c r="E2">
        <f>D2/B2*100</f>
        <v>2.5209932494508211</v>
      </c>
    </row>
    <row r="3" spans="1:5" x14ac:dyDescent="0.3">
      <c r="A3" t="s">
        <v>65</v>
      </c>
      <c r="B3">
        <f>SUMIF(Données!D:D,A3,Données!H:H)</f>
        <v>1884824.870000001</v>
      </c>
      <c r="C3">
        <f>SUMIF(Données!D:D,A3,Données!I:I)</f>
        <v>1872970.6776000003</v>
      </c>
      <c r="D3">
        <f t="shared" ref="D3:D5" si="0">C3-B3</f>
        <v>-11854.192400000757</v>
      </c>
      <c r="E3">
        <f t="shared" ref="E3:E5" si="1">D3/B3*100</f>
        <v>-0.62892805526280804</v>
      </c>
    </row>
    <row r="4" spans="1:5" x14ac:dyDescent="0.3">
      <c r="A4" t="s">
        <v>66</v>
      </c>
      <c r="B4">
        <f>SUMIF(Données!D:D,A4,Données!H:H)</f>
        <v>1928957.5</v>
      </c>
      <c r="C4">
        <f>SUMIF(Données!D:D,A4,Données!I:I)</f>
        <v>1957048.373600001</v>
      </c>
      <c r="D4">
        <f t="shared" si="0"/>
        <v>28090.873600000981</v>
      </c>
      <c r="E4">
        <f t="shared" si="1"/>
        <v>1.4562722921578615</v>
      </c>
    </row>
    <row r="5" spans="1:5" x14ac:dyDescent="0.3">
      <c r="A5" t="s">
        <v>67</v>
      </c>
      <c r="B5">
        <f>SUMIF(Données!D:D,A5,Données!H:H)</f>
        <v>2001965.620000001</v>
      </c>
      <c r="C5">
        <f>SUMIF(Données!D:D,A5,Données!I:I)</f>
        <v>2044165.2600000012</v>
      </c>
      <c r="D5">
        <f t="shared" si="0"/>
        <v>42199.64000000013</v>
      </c>
      <c r="E5">
        <f t="shared" si="1"/>
        <v>2.1079103246538322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6B34-3812-4AE3-A6E8-85C67754E42E}">
  <dimension ref="A1:E7"/>
  <sheetViews>
    <sheetView workbookViewId="0">
      <selection activeCell="F13" sqref="F13"/>
    </sheetView>
  </sheetViews>
  <sheetFormatPr baseColWidth="10" defaultRowHeight="14.4" x14ac:dyDescent="0.3"/>
  <cols>
    <col min="1" max="1" width="17" bestFit="1" customWidth="1"/>
  </cols>
  <sheetData>
    <row r="1" spans="1:5" x14ac:dyDescent="0.3">
      <c r="A1" s="4" t="s">
        <v>69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t="s">
        <v>45</v>
      </c>
      <c r="B2">
        <f>SUMIFS(Données!$H:$H,Données!$G:$G,A2)</f>
        <v>969766.57000000007</v>
      </c>
      <c r="C2">
        <f>SUMIFS(Données!$I:$I,Données!$G:$G,A2)</f>
        <v>993952.69000000029</v>
      </c>
      <c r="D2">
        <f>C2-B2</f>
        <v>24186.120000000228</v>
      </c>
      <c r="E2" s="5">
        <f>IF(B2=0,0,D2/B2)</f>
        <v>2.4940146163215573E-2</v>
      </c>
    </row>
    <row r="3" spans="1:5" x14ac:dyDescent="0.3">
      <c r="A3" t="s">
        <v>46</v>
      </c>
      <c r="B3">
        <f>SUMIFS(Données!$H:$H,Données!$G:$G,A3)</f>
        <v>1339531.7600000002</v>
      </c>
      <c r="C3">
        <f>SUMIFS(Données!$I:$I,Données!$G:$G,A3)</f>
        <v>1375008.7636000016</v>
      </c>
      <c r="D3">
        <f t="shared" ref="D3:D7" si="0">C3-B3</f>
        <v>35477.003600001335</v>
      </c>
      <c r="E3" s="5">
        <f t="shared" ref="E3:E7" si="1">IF(B3=0,0,D3/B3)</f>
        <v>2.6484630420409987E-2</v>
      </c>
    </row>
    <row r="4" spans="1:5" x14ac:dyDescent="0.3">
      <c r="A4" t="s">
        <v>47</v>
      </c>
      <c r="B4">
        <f>SUMIFS(Données!$H:$H,Données!$G:$G,A4)</f>
        <v>2684693.8699999996</v>
      </c>
      <c r="C4">
        <f>SUMIFS(Données!$I:$I,Données!$G:$G,A4)</f>
        <v>2703446.2175999978</v>
      </c>
      <c r="D4">
        <f t="shared" si="0"/>
        <v>18752.347599998116</v>
      </c>
      <c r="E4" s="5">
        <f t="shared" si="1"/>
        <v>6.9849109462890527E-3</v>
      </c>
    </row>
    <row r="5" spans="1:5" x14ac:dyDescent="0.3">
      <c r="A5" t="s">
        <v>70</v>
      </c>
      <c r="B5">
        <f>SUMIFS(Données!$H:$H,Données!$G:$G,A5)</f>
        <v>0</v>
      </c>
      <c r="C5">
        <f>SUMIFS(Données!$I:$I,Données!$G:$G,A5)</f>
        <v>0</v>
      </c>
      <c r="D5">
        <f t="shared" si="0"/>
        <v>0</v>
      </c>
      <c r="E5" s="5">
        <f t="shared" si="1"/>
        <v>0</v>
      </c>
    </row>
    <row r="6" spans="1:5" x14ac:dyDescent="0.3">
      <c r="A6" t="s">
        <v>49</v>
      </c>
      <c r="B6">
        <f>SUMIFS(Données!$H:$H,Données!$G:$G,A6)</f>
        <v>533804.44000000006</v>
      </c>
      <c r="C6">
        <f>SUMIFS(Données!$I:$I,Données!$G:$G,A6)</f>
        <v>544567.71000000008</v>
      </c>
      <c r="D6">
        <f t="shared" si="0"/>
        <v>10763.270000000019</v>
      </c>
      <c r="E6" s="5">
        <f t="shared" si="1"/>
        <v>2.0163320484932679E-2</v>
      </c>
    </row>
    <row r="7" spans="1:5" x14ac:dyDescent="0.3">
      <c r="A7" t="s">
        <v>51</v>
      </c>
      <c r="B7">
        <f>SUMIFS(Données!$H:$H,Données!$G:$G,A7)</f>
        <v>1054339.5599999996</v>
      </c>
      <c r="C7">
        <f>SUMIFS(Données!$I:$I,Données!$G:$G,A7)</f>
        <v>1043261.5499999992</v>
      </c>
      <c r="D7">
        <f t="shared" si="0"/>
        <v>-11078.010000000359</v>
      </c>
      <c r="E7" s="5">
        <f t="shared" si="1"/>
        <v>-1.0507060932059083E-2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6210-2C15-4435-B3D3-3B7EA4E64590}">
  <dimension ref="A1:E5"/>
  <sheetViews>
    <sheetView workbookViewId="0">
      <selection activeCell="E2" sqref="E2:E5"/>
    </sheetView>
  </sheetViews>
  <sheetFormatPr baseColWidth="10" defaultRowHeight="14.4" x14ac:dyDescent="0.3"/>
  <cols>
    <col min="1" max="1" width="13.33203125" bestFit="1" customWidth="1"/>
    <col min="2" max="2" width="11.33203125" bestFit="1" customWidth="1"/>
  </cols>
  <sheetData>
    <row r="1" spans="1:5" x14ac:dyDescent="0.3">
      <c r="A1" s="4" t="s">
        <v>71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t="s">
        <v>41</v>
      </c>
      <c r="B2">
        <f>SUMIFS(Données!$H:$H,Données!$F:$F,A2)</f>
        <v>2522350.1899999995</v>
      </c>
      <c r="C2">
        <f>SUMIFS(Données!$I:$I,Données!$F:$F,A2)</f>
        <v>2591869.6535999989</v>
      </c>
      <c r="D2">
        <f>C2-B2</f>
        <v>69519.463599999435</v>
      </c>
      <c r="E2" s="5">
        <f>D2/B2</f>
        <v>2.7561384567302866E-2</v>
      </c>
    </row>
    <row r="3" spans="1:5" x14ac:dyDescent="0.3">
      <c r="A3" t="s">
        <v>42</v>
      </c>
      <c r="B3">
        <f>SUMIFS(Données!$H:$H,Données!$F:$F,A3)</f>
        <v>1280801.5899999996</v>
      </c>
      <c r="C3">
        <f>SUMIFS(Données!$I:$I,Données!$F:$F,A3)</f>
        <v>1272213.6876000005</v>
      </c>
      <c r="D3">
        <f t="shared" ref="D3:D5" si="0">C3-B3</f>
        <v>-8587.9023999990895</v>
      </c>
      <c r="E3" s="5">
        <f t="shared" ref="E3:E5" si="1">D3/B3</f>
        <v>-6.7050997336746687E-3</v>
      </c>
    </row>
    <row r="4" spans="1:5" x14ac:dyDescent="0.3">
      <c r="A4" t="s">
        <v>43</v>
      </c>
      <c r="B4">
        <f>SUMIFS(Données!$H:$H,Données!$F:$F,A4)</f>
        <v>2463747.13</v>
      </c>
      <c r="C4">
        <f>SUMIFS(Données!$I:$I,Données!$F:$F,A4)</f>
        <v>2491876.5700000008</v>
      </c>
      <c r="D4">
        <f t="shared" si="0"/>
        <v>28129.440000000875</v>
      </c>
      <c r="E4" s="5">
        <f t="shared" si="1"/>
        <v>1.141734054500994E-2</v>
      </c>
    </row>
    <row r="5" spans="1:5" x14ac:dyDescent="0.3">
      <c r="A5" t="s">
        <v>44</v>
      </c>
      <c r="B5">
        <f>SUMIFS(Données!$H:$H,Données!$F:$F,A5)</f>
        <v>1399329.64</v>
      </c>
      <c r="C5">
        <f>SUMIFS(Données!$I:$I,Données!$F:$F,A5)</f>
        <v>1415355.4500000004</v>
      </c>
      <c r="D5">
        <f t="shared" si="0"/>
        <v>16025.810000000522</v>
      </c>
      <c r="E5" s="5">
        <f t="shared" si="1"/>
        <v>1.1452490922725343E-2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9311-C6E2-41A6-90D2-26FA9EBB8BF2}">
  <dimension ref="A1:E13"/>
  <sheetViews>
    <sheetView workbookViewId="0">
      <selection activeCell="G5" sqref="G5"/>
    </sheetView>
  </sheetViews>
  <sheetFormatPr baseColWidth="10" defaultRowHeight="14.4" x14ac:dyDescent="0.3"/>
  <cols>
    <col min="1" max="1" width="11.5546875" style="7"/>
  </cols>
  <sheetData>
    <row r="1" spans="1:5" x14ac:dyDescent="0.3">
      <c r="A1" s="8" t="s">
        <v>0</v>
      </c>
      <c r="B1" s="4" t="s">
        <v>57</v>
      </c>
      <c r="C1" s="4" t="s">
        <v>58</v>
      </c>
      <c r="D1" s="4" t="s">
        <v>52</v>
      </c>
      <c r="E1" s="4" t="s">
        <v>53</v>
      </c>
    </row>
    <row r="2" spans="1:5" x14ac:dyDescent="0.3">
      <c r="A2" s="7">
        <v>45658</v>
      </c>
      <c r="B2">
        <f>SUMIFS(Données!$H:$H,Données!$B:$B,A2)</f>
        <v>656886.41999999981</v>
      </c>
      <c r="C2">
        <f>SUMIFS(Données!$I:$I,Données!$B:$B,A2)</f>
        <v>619259.46000000008</v>
      </c>
      <c r="D2">
        <f>C2-B2</f>
        <v>-37626.95999999973</v>
      </c>
      <c r="E2" s="5">
        <f>D2/B2</f>
        <v>-5.7280770091121293E-2</v>
      </c>
    </row>
    <row r="3" spans="1:5" x14ac:dyDescent="0.3">
      <c r="A3" s="7">
        <v>45689</v>
      </c>
      <c r="B3">
        <f>SUMIFS(Données!$H:$H,Données!$B:$B,A3)</f>
        <v>633140.0299999998</v>
      </c>
      <c r="C3">
        <f>SUMIFS(Données!$I:$I,Données!$B:$B,A3)</f>
        <v>640830.64439999964</v>
      </c>
      <c r="D3">
        <f t="shared" ref="D3:D13" si="0">C3-B3</f>
        <v>7690.6143999998458</v>
      </c>
      <c r="E3" s="5">
        <f t="shared" ref="E3:E13" si="1">D3/B3</f>
        <v>1.2146782758309957E-2</v>
      </c>
    </row>
    <row r="4" spans="1:5" x14ac:dyDescent="0.3">
      <c r="A4" s="7">
        <v>45717</v>
      </c>
      <c r="B4">
        <f>SUMIFS(Données!$H:$H,Données!$B:$B,A4)</f>
        <v>631857.2100000002</v>
      </c>
      <c r="C4">
        <f>SUMIFS(Données!$I:$I,Données!$B:$B,A4)</f>
        <v>643389.5196</v>
      </c>
      <c r="D4">
        <f t="shared" si="0"/>
        <v>11532.309599999804</v>
      </c>
      <c r="E4" s="5">
        <f t="shared" si="1"/>
        <v>1.825144893100104E-2</v>
      </c>
    </row>
    <row r="5" spans="1:5" x14ac:dyDescent="0.3">
      <c r="A5" s="7">
        <v>45748</v>
      </c>
      <c r="B5">
        <f>SUMIFS(Données!$H:$H,Données!$B:$B,A5)</f>
        <v>634922.14999999991</v>
      </c>
      <c r="C5">
        <f>SUMIFS(Données!$I:$I,Données!$B:$B,A5)</f>
        <v>655198.27000000025</v>
      </c>
      <c r="D5">
        <f t="shared" si="0"/>
        <v>20276.120000000345</v>
      </c>
      <c r="E5" s="5">
        <f t="shared" si="1"/>
        <v>3.1934812795553512E-2</v>
      </c>
    </row>
    <row r="6" spans="1:5" x14ac:dyDescent="0.3">
      <c r="A6" s="7">
        <v>45778</v>
      </c>
      <c r="B6">
        <f>SUMIFS(Données!$H:$H,Données!$B:$B,A6)</f>
        <v>580334.45000000007</v>
      </c>
      <c r="C6">
        <f>SUMIFS(Données!$I:$I,Données!$B:$B,A6)</f>
        <v>597785.32999999973</v>
      </c>
      <c r="D6">
        <f t="shared" si="0"/>
        <v>17450.879999999655</v>
      </c>
      <c r="E6" s="5">
        <f t="shared" si="1"/>
        <v>3.0070384413676723E-2</v>
      </c>
    </row>
    <row r="7" spans="1:5" x14ac:dyDescent="0.3">
      <c r="A7" s="7">
        <v>45809</v>
      </c>
      <c r="B7">
        <f>SUMIFS(Données!$H:$H,Données!$B:$B,A7)</f>
        <v>600622.15</v>
      </c>
      <c r="C7">
        <f>SUMIFS(Données!$I:$I,Données!$B:$B,A7)</f>
        <v>621734.94119999977</v>
      </c>
      <c r="D7">
        <f t="shared" si="0"/>
        <v>21112.791199999745</v>
      </c>
      <c r="E7" s="5">
        <f t="shared" si="1"/>
        <v>3.5151536119671485E-2</v>
      </c>
    </row>
    <row r="8" spans="1:5" x14ac:dyDescent="0.3">
      <c r="A8" s="7">
        <v>45839</v>
      </c>
      <c r="B8">
        <f>SUMIFS(Données!$H:$H,Données!$B:$B,A8)</f>
        <v>609819.2799999998</v>
      </c>
      <c r="C8">
        <f>SUMIFS(Données!$I:$I,Données!$B:$B,A8)</f>
        <v>620455.1399999999</v>
      </c>
      <c r="D8">
        <f t="shared" si="0"/>
        <v>10635.860000000102</v>
      </c>
      <c r="E8" s="5">
        <f t="shared" si="1"/>
        <v>1.7441003177203755E-2</v>
      </c>
    </row>
    <row r="9" spans="1:5" x14ac:dyDescent="0.3">
      <c r="A9" s="7">
        <v>45870</v>
      </c>
      <c r="B9">
        <f>SUMIFS(Données!$H:$H,Données!$B:$B,A9)</f>
        <v>659535</v>
      </c>
      <c r="C9">
        <f>SUMIFS(Données!$I:$I,Données!$B:$B,A9)</f>
        <v>659853.53320000041</v>
      </c>
      <c r="D9">
        <f t="shared" si="0"/>
        <v>318.53320000041276</v>
      </c>
      <c r="E9" s="5">
        <f t="shared" si="1"/>
        <v>4.8296633234083523E-4</v>
      </c>
    </row>
    <row r="10" spans="1:5" x14ac:dyDescent="0.3">
      <c r="A10" s="7">
        <v>45901</v>
      </c>
      <c r="B10">
        <f>SUMIFS(Données!$H:$H,Données!$B:$B,A10)</f>
        <v>618992.05999999971</v>
      </c>
      <c r="C10">
        <f>SUMIFS(Données!$I:$I,Données!$B:$B,A10)</f>
        <v>626150.31279999972</v>
      </c>
      <c r="D10">
        <f t="shared" si="0"/>
        <v>7158.2528000000166</v>
      </c>
      <c r="E10" s="5">
        <f t="shared" si="1"/>
        <v>1.1564369339406421E-2</v>
      </c>
    </row>
    <row r="11" spans="1:5" x14ac:dyDescent="0.3">
      <c r="A11" s="7">
        <v>45931</v>
      </c>
      <c r="B11">
        <f>SUMIFS(Données!$H:$H,Données!$B:$B,A11)</f>
        <v>776164.08000000019</v>
      </c>
      <c r="C11">
        <f>SUMIFS(Données!$I:$I,Données!$B:$B,A11)</f>
        <v>804217.55999999994</v>
      </c>
      <c r="D11">
        <f t="shared" si="0"/>
        <v>28053.479999999749</v>
      </c>
      <c r="E11" s="5">
        <f t="shared" si="1"/>
        <v>3.6143749398966959E-2</v>
      </c>
    </row>
    <row r="12" spans="1:5" x14ac:dyDescent="0.3">
      <c r="A12" s="7">
        <v>45962</v>
      </c>
      <c r="B12">
        <f>SUMIFS(Données!$H:$H,Données!$B:$B,A12)</f>
        <v>651468.3899999999</v>
      </c>
      <c r="C12">
        <f>SUMIFS(Données!$I:$I,Données!$B:$B,A12)</f>
        <v>654875.19000000006</v>
      </c>
      <c r="D12">
        <f t="shared" si="0"/>
        <v>3406.800000000163</v>
      </c>
      <c r="E12" s="5">
        <f t="shared" si="1"/>
        <v>5.2294171939795322E-3</v>
      </c>
    </row>
    <row r="13" spans="1:5" x14ac:dyDescent="0.3">
      <c r="A13" s="7">
        <v>45992</v>
      </c>
      <c r="B13">
        <f>SUMIFS(Données!$H:$H,Données!$B:$B,A13)</f>
        <v>612487.33000000019</v>
      </c>
      <c r="C13">
        <f>SUMIFS(Données!$I:$I,Données!$B:$B,A13)</f>
        <v>627565.45999999985</v>
      </c>
      <c r="D13">
        <f t="shared" si="0"/>
        <v>15078.129999999655</v>
      </c>
      <c r="E13" s="5">
        <f t="shared" si="1"/>
        <v>2.4617864340148312E-2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Données</vt:lpstr>
      <vt:lpstr>synthèse des anomalies</vt:lpstr>
      <vt:lpstr>Top_Ecarts</vt:lpstr>
      <vt:lpstr>Drilldown_Business_Unit</vt:lpstr>
      <vt:lpstr>Drilldown_CC</vt:lpstr>
      <vt:lpstr>kpi</vt:lpstr>
      <vt:lpstr>Drilldown_BU</vt:lpstr>
      <vt:lpstr>Drilldown_Nature</vt:lpstr>
      <vt:lpstr>Drilldown_Centre_Cout</vt:lpstr>
      <vt:lpstr>Drilldown_Mois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POUKIN KENFACK Yvan</cp:lastModifiedBy>
  <dcterms:created xsi:type="dcterms:W3CDTF">2026-09-17T10:51:47Z</dcterms:created>
  <dcterms:modified xsi:type="dcterms:W3CDTF">2026-09-22T09:53:13Z</dcterms:modified>
</cp:coreProperties>
</file>